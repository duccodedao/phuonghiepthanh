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/>
  </bookViews>
  <sheets>
    <sheet name="2026 tha dtd" sheetId="5" r:id="rId1"/>
    <sheet name="THA, ĐTĐ" sheetId="1" r:id="rId2"/>
    <sheet name="ds" sheetId="2" r:id="rId3"/>
    <sheet name="rượu, bia" sheetId="3" r:id="rId4"/>
    <sheet name="2026" sheetId="4" r:id="rId5"/>
  </sheets>
  <definedNames>
    <definedName name="_xlnm.Print_Area" localSheetId="0">'2026 tha dtd'!$A$1:$M$22</definedName>
    <definedName name="_xlnm.Print_Area" localSheetId="1">'THA, ĐTĐ'!$A$1:$M$32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5" l="1"/>
  <c r="G14" i="5"/>
  <c r="F14" i="5"/>
  <c r="E14" i="5"/>
  <c r="G13" i="5"/>
  <c r="F13" i="5"/>
  <c r="E13" i="5"/>
  <c r="G12" i="5"/>
  <c r="F12" i="5"/>
  <c r="E12" i="5"/>
  <c r="K8" i="5"/>
  <c r="H8" i="5"/>
  <c r="B8" i="5"/>
  <c r="E7" i="5"/>
  <c r="D7" i="5"/>
  <c r="C7" i="5"/>
  <c r="F7" i="5" s="1"/>
  <c r="E6" i="5"/>
  <c r="L6" i="5" s="1"/>
  <c r="D6" i="5"/>
  <c r="I6" i="5" s="1"/>
  <c r="J6" i="5" s="1"/>
  <c r="C6" i="5"/>
  <c r="F6" i="5" s="1"/>
  <c r="G6" i="5" s="1"/>
  <c r="E5" i="5"/>
  <c r="L5" i="5" s="1"/>
  <c r="D5" i="5"/>
  <c r="I5" i="5" s="1"/>
  <c r="J5" i="5" s="1"/>
  <c r="C5" i="5"/>
  <c r="F5" i="5" s="1"/>
  <c r="G5" i="5" s="1"/>
  <c r="D8" i="5" l="1"/>
  <c r="E8" i="5"/>
  <c r="G7" i="5"/>
  <c r="F8" i="5"/>
  <c r="G8" i="5"/>
  <c r="I7" i="5"/>
  <c r="C8" i="5"/>
  <c r="L7" i="5"/>
  <c r="C33" i="1"/>
  <c r="D33" i="1"/>
  <c r="E33" i="1"/>
  <c r="F33" i="1"/>
  <c r="G33" i="1"/>
  <c r="B33" i="1"/>
  <c r="C16" i="1"/>
  <c r="D16" i="1"/>
  <c r="E16" i="1"/>
  <c r="F16" i="1"/>
  <c r="G16" i="1"/>
  <c r="H16" i="1"/>
  <c r="I16" i="1"/>
  <c r="J16" i="1"/>
  <c r="K16" i="1"/>
  <c r="L16" i="1"/>
  <c r="B16" i="1"/>
  <c r="L8" i="5" l="1"/>
  <c r="J7" i="5"/>
  <c r="I8" i="5"/>
  <c r="Q13" i="1"/>
  <c r="R9" i="1"/>
  <c r="Q14" i="1" s="1"/>
  <c r="S9" i="1"/>
  <c r="T9" i="1"/>
  <c r="E31" i="1"/>
  <c r="J8" i="5" l="1"/>
  <c r="D9" i="4"/>
  <c r="D10" i="4"/>
  <c r="D11" i="4"/>
  <c r="D12" i="4"/>
  <c r="D13" i="4"/>
  <c r="D8" i="4"/>
  <c r="C16" i="2" l="1"/>
  <c r="H15" i="1" l="1"/>
  <c r="K15" i="1"/>
  <c r="B15" i="1"/>
  <c r="C32" i="1"/>
  <c r="D32" i="1"/>
  <c r="F32" i="1"/>
  <c r="G32" i="1"/>
  <c r="B32" i="1"/>
  <c r="E4" i="3" l="1"/>
  <c r="E5" i="3"/>
  <c r="E6" i="3"/>
  <c r="E7" i="3"/>
  <c r="E8" i="3"/>
  <c r="E9" i="3"/>
  <c r="E10" i="3"/>
  <c r="E11" i="3"/>
  <c r="E12" i="3"/>
  <c r="E3" i="3"/>
  <c r="D5" i="3"/>
  <c r="D6" i="3"/>
  <c r="D7" i="3"/>
  <c r="D8" i="3"/>
  <c r="D9" i="3"/>
  <c r="D10" i="3"/>
  <c r="D11" i="3"/>
  <c r="D12" i="3"/>
  <c r="D4" i="3"/>
  <c r="D3" i="3"/>
  <c r="C4" i="3"/>
  <c r="C5" i="3"/>
  <c r="C6" i="3"/>
  <c r="C7" i="3"/>
  <c r="C8" i="3"/>
  <c r="C9" i="3"/>
  <c r="C10" i="3"/>
  <c r="C11" i="3"/>
  <c r="C12" i="3"/>
  <c r="C3" i="3"/>
  <c r="B13" i="3"/>
  <c r="D13" i="3" s="1"/>
  <c r="E13" i="3" l="1"/>
  <c r="C13" i="3"/>
  <c r="C5" i="1"/>
  <c r="D5" i="1"/>
  <c r="E5" i="1"/>
  <c r="E23" i="1"/>
  <c r="E24" i="1"/>
  <c r="E25" i="1"/>
  <c r="E26" i="1"/>
  <c r="E27" i="1"/>
  <c r="E28" i="1"/>
  <c r="E29" i="1"/>
  <c r="E30" i="1"/>
  <c r="E22" i="1"/>
  <c r="D6" i="1"/>
  <c r="I6" i="1" s="1"/>
  <c r="J6" i="1" s="1"/>
  <c r="D7" i="1"/>
  <c r="I7" i="1" s="1"/>
  <c r="J7" i="1" s="1"/>
  <c r="D8" i="1"/>
  <c r="I8" i="1" s="1"/>
  <c r="J8" i="1" s="1"/>
  <c r="D9" i="1"/>
  <c r="I9" i="1" s="1"/>
  <c r="J9" i="1" s="1"/>
  <c r="D10" i="1"/>
  <c r="I10" i="1" s="1"/>
  <c r="J10" i="1" s="1"/>
  <c r="D11" i="1"/>
  <c r="I11" i="1" s="1"/>
  <c r="J11" i="1" s="1"/>
  <c r="D12" i="1"/>
  <c r="I12" i="1" s="1"/>
  <c r="J12" i="1" s="1"/>
  <c r="D13" i="1"/>
  <c r="I13" i="1" s="1"/>
  <c r="J13" i="1" s="1"/>
  <c r="D14" i="1"/>
  <c r="I14" i="1" s="1"/>
  <c r="J14" i="1" s="1"/>
  <c r="C6" i="1"/>
  <c r="C7" i="1"/>
  <c r="C8" i="1"/>
  <c r="C9" i="1"/>
  <c r="C10" i="1"/>
  <c r="C11" i="1"/>
  <c r="C12" i="1"/>
  <c r="C13" i="1"/>
  <c r="C14" i="1"/>
  <c r="F14" i="1" s="1"/>
  <c r="C13" i="2"/>
  <c r="E13" i="2"/>
  <c r="D13" i="2"/>
  <c r="B13" i="2"/>
  <c r="G23" i="1"/>
  <c r="G24" i="1"/>
  <c r="G25" i="1"/>
  <c r="G26" i="1"/>
  <c r="G27" i="1"/>
  <c r="G28" i="1"/>
  <c r="G29" i="1"/>
  <c r="G30" i="1"/>
  <c r="G31" i="1"/>
  <c r="G22" i="1"/>
  <c r="F23" i="1"/>
  <c r="F24" i="1"/>
  <c r="F25" i="1"/>
  <c r="F26" i="1"/>
  <c r="F27" i="1"/>
  <c r="F28" i="1"/>
  <c r="F29" i="1"/>
  <c r="F30" i="1"/>
  <c r="F31" i="1"/>
  <c r="F22" i="1"/>
  <c r="I5" i="1" l="1"/>
  <c r="D15" i="1"/>
  <c r="F5" i="1"/>
  <c r="C15" i="1"/>
  <c r="L5" i="1"/>
  <c r="E32" i="1"/>
  <c r="E6" i="1"/>
  <c r="L6" i="1" s="1"/>
  <c r="E7" i="1"/>
  <c r="L7" i="1" s="1"/>
  <c r="E8" i="1"/>
  <c r="L8" i="1" s="1"/>
  <c r="E9" i="1"/>
  <c r="L9" i="1" s="1"/>
  <c r="E10" i="1"/>
  <c r="L10" i="1" s="1"/>
  <c r="E11" i="1"/>
  <c r="L11" i="1" s="1"/>
  <c r="E12" i="1"/>
  <c r="L12" i="1" s="1"/>
  <c r="E13" i="1"/>
  <c r="L13" i="1" s="1"/>
  <c r="E14" i="1"/>
  <c r="L14" i="1" s="1"/>
  <c r="G5" i="1" l="1"/>
  <c r="E15" i="1"/>
  <c r="L15" i="1"/>
  <c r="J5" i="1"/>
  <c r="J15" i="1" s="1"/>
  <c r="I15" i="1"/>
  <c r="F6" i="1"/>
  <c r="G6" i="1" s="1"/>
  <c r="F10" i="1"/>
  <c r="G10" i="1" s="1"/>
  <c r="F13" i="1"/>
  <c r="G13" i="1" s="1"/>
  <c r="F9" i="1"/>
  <c r="G9" i="1" s="1"/>
  <c r="G14" i="1" l="1"/>
  <c r="F12" i="1"/>
  <c r="G12" i="1" s="1"/>
  <c r="F8" i="1"/>
  <c r="G8" i="1" s="1"/>
  <c r="G15" i="1" s="1"/>
  <c r="F11" i="1"/>
  <c r="G11" i="1" s="1"/>
  <c r="F7" i="1"/>
  <c r="G7" i="1" s="1"/>
  <c r="F15" i="1" l="1"/>
  <c r="B15" i="5"/>
  <c r="D15" i="5"/>
  <c r="G15" i="5"/>
  <c r="C15" i="5"/>
  <c r="E15" i="5"/>
  <c r="F15" i="5"/>
</calcChain>
</file>

<file path=xl/sharedStrings.xml><?xml version="1.0" encoding="utf-8"?>
<sst xmlns="http://schemas.openxmlformats.org/spreadsheetml/2006/main" count="186" uniqueCount="84">
  <si>
    <t>ĐƠN VỊ</t>
  </si>
  <si>
    <t>TỶ LỆ MẮC CĐ</t>
  </si>
  <si>
    <t>THA</t>
  </si>
  <si>
    <t>ĐTĐ</t>
  </si>
  <si>
    <t>P1</t>
  </si>
  <si>
    <t>P2</t>
  </si>
  <si>
    <t>P3</t>
  </si>
  <si>
    <t>P5</t>
  </si>
  <si>
    <t>P7</t>
  </si>
  <si>
    <t>P8</t>
  </si>
  <si>
    <t>NM</t>
  </si>
  <si>
    <t>HT</t>
  </si>
  <si>
    <t>VT</t>
  </si>
  <si>
    <t>VTĐ</t>
  </si>
  <si>
    <t>TỔNG</t>
  </si>
  <si>
    <t>DS ≥ 18t</t>
  </si>
  <si>
    <t>Ung thư</t>
  </si>
  <si>
    <t>Tỷ lệ mắc cộng đồng Ung thư = DS chung x 0,16%</t>
  </si>
  <si>
    <t>&lt;16% tiền ĐTĐ 
30-69t</t>
  </si>
  <si>
    <t>&lt;8% ĐTĐ 
30-69t</t>
  </si>
  <si>
    <t>30-69t</t>
  </si>
  <si>
    <t>DS
chung</t>
  </si>
  <si>
    <t>Khống chế &lt;30% Bị THA ≥18t (cột màu cam) = Dân số ≥ 18 tuổi x30% (chỉ tiêu theo kế hoạch)</t>
  </si>
  <si>
    <t>&lt;8% ĐTĐ từ 30-69 tuổi= DS từ 30-69 tuổi (cột màu hồng) x 8% (chỉ tiêu theo kế hoạch)</t>
  </si>
  <si>
    <t>Ung thư 0,16%
(3)</t>
  </si>
  <si>
    <t>50% Phát hiện = Tỷ lệ mắc THA CĐ (cột màu vàng (1)) x 50% (chỉ tiêu theo kế hoạch)</t>
  </si>
  <si>
    <t>50% Quản lý = 50% Phát hiện THA (cột màu xanh (4)) x 50% (chỉ tiêu theo kế hoạch)</t>
  </si>
  <si>
    <t>&lt;16% tiền ĐTĐ từ 30-69 tuổi= DS từ 30-69 tuổi (cột màu hồng) x 16% (chỉ tiêu theo kế hoạch)</t>
  </si>
  <si>
    <t>50% Phát hiện = Tỷ lệ mắc Ung thư CĐ (cột màu vàng (3)) x 40% (chỉ tiêu theo kế hoạch)</t>
  </si>
  <si>
    <t>Cách tính % theo bảng điểm kiểm tra</t>
  </si>
  <si>
    <t>DS 
≥ 40t</t>
  </si>
  <si>
    <t>THA 13%
(1)</t>
  </si>
  <si>
    <t>ĐTĐ 3%
(2)</t>
  </si>
  <si>
    <t>Tỷ lệ mắc cộng đồng THA = DS chung x 13%</t>
  </si>
  <si>
    <t>Tỷ lệ mắc cộng đồng ĐTĐ = DS chung x 3%</t>
  </si>
  <si>
    <t>&gt;40 tuổi</t>
  </si>
  <si>
    <r>
      <rPr>
        <b/>
        <sz val="13"/>
        <color theme="1"/>
        <rFont val="Times New Roman"/>
        <family val="1"/>
      </rPr>
      <t>THA</t>
    </r>
    <r>
      <rPr>
        <sz val="13"/>
        <color theme="1"/>
        <rFont val="Times New Roman"/>
        <family val="1"/>
      </rPr>
      <t xml:space="preserve"> = (Số quản lý hiện tại </t>
    </r>
    <r>
      <rPr>
        <b/>
        <sz val="13"/>
        <color theme="1"/>
        <rFont val="Times New Roman"/>
        <family val="1"/>
      </rPr>
      <t>chia</t>
    </r>
    <r>
      <rPr>
        <sz val="13"/>
        <color theme="1"/>
        <rFont val="Times New Roman"/>
        <family val="1"/>
      </rPr>
      <t xml:space="preserve"> (Dân số chung </t>
    </r>
    <r>
      <rPr>
        <b/>
        <sz val="13"/>
        <color theme="1"/>
        <rFont val="Times New Roman"/>
        <family val="1"/>
      </rPr>
      <t>nhân</t>
    </r>
    <r>
      <rPr>
        <sz val="13"/>
        <color theme="1"/>
        <rFont val="Times New Roman"/>
        <family val="1"/>
      </rPr>
      <t xml:space="preserve"> Tỷ lệ mắc THA cộng đồng 13%)) </t>
    </r>
    <r>
      <rPr>
        <b/>
        <sz val="13"/>
        <color theme="1"/>
        <rFont val="Times New Roman"/>
        <family val="1"/>
      </rPr>
      <t>nhân</t>
    </r>
    <r>
      <rPr>
        <sz val="13"/>
        <color theme="1"/>
        <rFont val="Times New Roman"/>
        <family val="1"/>
      </rPr>
      <t xml:space="preserve"> 100</t>
    </r>
  </si>
  <si>
    <r>
      <rPr>
        <b/>
        <sz val="13"/>
        <color theme="1"/>
        <rFont val="Times New Roman"/>
        <family val="1"/>
      </rPr>
      <t>ĐTĐ</t>
    </r>
    <r>
      <rPr>
        <sz val="13"/>
        <color theme="1"/>
        <rFont val="Times New Roman"/>
        <family val="1"/>
      </rPr>
      <t xml:space="preserve"> = (Số quản lý hiện tại </t>
    </r>
    <r>
      <rPr>
        <b/>
        <sz val="13"/>
        <color theme="1"/>
        <rFont val="Times New Roman"/>
        <family val="1"/>
      </rPr>
      <t>chia</t>
    </r>
    <r>
      <rPr>
        <sz val="13"/>
        <color theme="1"/>
        <rFont val="Times New Roman"/>
        <family val="1"/>
      </rPr>
      <t xml:space="preserve"> (Dân số chung </t>
    </r>
    <r>
      <rPr>
        <b/>
        <sz val="13"/>
        <color theme="1"/>
        <rFont val="Times New Roman"/>
        <family val="1"/>
      </rPr>
      <t>nhân</t>
    </r>
    <r>
      <rPr>
        <sz val="13"/>
        <color theme="1"/>
        <rFont val="Times New Roman"/>
        <family val="1"/>
      </rPr>
      <t xml:space="preserve"> Tỷ lệ mắc ĐTĐ cộng đồng 3%)) </t>
    </r>
    <r>
      <rPr>
        <b/>
        <sz val="13"/>
        <color theme="1"/>
        <rFont val="Times New Roman"/>
        <family val="1"/>
      </rPr>
      <t>nhân</t>
    </r>
    <r>
      <rPr>
        <sz val="13"/>
        <color theme="1"/>
        <rFont val="Times New Roman"/>
        <family val="1"/>
      </rPr>
      <t xml:space="preserve"> 100</t>
    </r>
  </si>
  <si>
    <t>55% Phát hiện = Tỷ lệ mắc ĐTĐ CĐ  (cột màu vàng (2)) x 55% (chỉ tiêu theo kế hoạch)</t>
  </si>
  <si>
    <t>55% Quản lý = 55% Phát hiện ĐTĐ (cột màu xanh (5)) x 55% (chỉ tiêu theo kế hoạch)</t>
  </si>
  <si>
    <r>
      <t>80%(</t>
    </r>
    <r>
      <rPr>
        <b/>
        <sz val="13"/>
        <color theme="1"/>
        <rFont val="Calibri"/>
        <family val="2"/>
      </rPr>
      <t>&gt;40</t>
    </r>
    <r>
      <rPr>
        <b/>
        <sz val="13"/>
        <color theme="1"/>
        <rFont val="Times New Roman"/>
        <family val="1"/>
      </rPr>
      <t>t) 
được sàng lọc</t>
    </r>
  </si>
  <si>
    <r>
      <t xml:space="preserve">80% người &gt;40 tuổi được sàng lọc THA, ĐTĐ = DS </t>
    </r>
    <r>
      <rPr>
        <sz val="13"/>
        <color theme="1"/>
        <rFont val="Calibri"/>
        <family val="2"/>
      </rPr>
      <t>&gt;40</t>
    </r>
    <r>
      <rPr>
        <sz val="13"/>
        <color theme="1"/>
        <rFont val="Times New Roman"/>
        <family val="1"/>
      </rPr>
      <t xml:space="preserve"> tuổi x 80% (chỉ tiêu theo kế hoạch)</t>
    </r>
  </si>
  <si>
    <r>
      <rPr>
        <b/>
        <sz val="13"/>
        <color theme="1"/>
        <rFont val="Times New Roman"/>
        <family val="1"/>
      </rPr>
      <t xml:space="preserve">Ví dụ: </t>
    </r>
    <r>
      <rPr>
        <sz val="13"/>
        <color theme="1"/>
        <rFont val="Times New Roman"/>
        <family val="1"/>
      </rPr>
      <t>dân số 1000 người, QL hiện tại 70 người THA =&gt; 70/(1000*13%)*100= 54%</t>
    </r>
  </si>
  <si>
    <r>
      <rPr>
        <b/>
        <sz val="13"/>
        <color theme="1"/>
        <rFont val="Times New Roman"/>
        <family val="1"/>
      </rPr>
      <t>Ví dụ:</t>
    </r>
    <r>
      <rPr>
        <sz val="13"/>
        <color theme="1"/>
        <rFont val="Times New Roman"/>
        <family val="1"/>
      </rPr>
      <t xml:space="preserve"> dân số 1000 người, QL hiện tại 7 người ĐTĐ =&gt; 7/(1000*3%)*100= 23%</t>
    </r>
  </si>
  <si>
    <t>50% 
Phát hiện
(4)</t>
  </si>
  <si>
    <t>50% 
Quản lý</t>
  </si>
  <si>
    <t>QL 
hiện tại</t>
  </si>
  <si>
    <t>55% 
Phát hiện
(5)</t>
  </si>
  <si>
    <t>55% 
quản lý</t>
  </si>
  <si>
    <t>40% 
Phát hiện</t>
  </si>
  <si>
    <t>Hiểu tác hại
90%</t>
  </si>
  <si>
    <t>Hiểu quy định
70%</t>
  </si>
  <si>
    <t>Hiểu về bệnh 80%</t>
  </si>
  <si>
    <t>DS ≥ 20t</t>
  </si>
  <si>
    <t>TRUNG TÂM Y TẾ KVBL</t>
  </si>
  <si>
    <t>TRẠM Y TẾ VTĐ</t>
  </si>
  <si>
    <t>CỘNG HÒA XÃ HỘI CHỦ NGHĨA VIỆT NAM</t>
  </si>
  <si>
    <t>Độc lập -  Tự do -  Hạnh phúc</t>
  </si>
  <si>
    <t>STT</t>
  </si>
  <si>
    <t>Ấp</t>
  </si>
  <si>
    <t>Số tiền</t>
  </si>
  <si>
    <t>Ký nhận</t>
  </si>
  <si>
    <t>Biển Đông A</t>
  </si>
  <si>
    <t>Số trẻ</t>
  </si>
  <si>
    <t>Biển Tây A</t>
  </si>
  <si>
    <t>Biển Tây B</t>
  </si>
  <si>
    <t>Biển Đông B</t>
  </si>
  <si>
    <t>Giồng Giữa A</t>
  </si>
  <si>
    <t>Giồng Giữa B</t>
  </si>
  <si>
    <t>(1)</t>
  </si>
  <si>
    <t>(2)</t>
  </si>
  <si>
    <t>(3)</t>
  </si>
  <si>
    <t>(5)</t>
  </si>
  <si>
    <t>(4) = '(3) x 1,000đ</t>
  </si>
  <si>
    <t>DANH SÁCH HỖ TRỢ CỘNG TÁC VIÊN CHO TRẺ UỐNG VITAMIN A LIỀU CAO VÀ CÂN ĐO TRẺ TẠI CỘNG ĐỒNG ĐỢT 1 NĂM 2025</t>
  </si>
  <si>
    <t>TRẠM Y TẾ</t>
  </si>
  <si>
    <t>NGƯỜI LẬP BẢNG</t>
  </si>
  <si>
    <t>quý 1</t>
  </si>
  <si>
    <t>quý 2</t>
  </si>
  <si>
    <t>quý 3</t>
  </si>
  <si>
    <t>tổng</t>
  </si>
  <si>
    <t>quý 4</t>
  </si>
  <si>
    <t>ksl</t>
  </si>
  <si>
    <t>Chỉ tiêu quý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</si>
</sst>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#&quot;đ&quot;"/>
  </numFmts>
  <fonts count="9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u/>
      <sz val="13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1" fillId="0" borderId="0" xfId="0" applyFont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7" fillId="0" borderId="1" xfId="0" applyNumberFormat="1" applyFont="1" applyBorder="1"/>
    <xf numFmtId="0" fontId="6" fillId="0" borderId="1" xfId="0" applyFont="1" applyBorder="1"/>
    <xf numFmtId="0" fontId="6" fillId="7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6" fillId="0" borderId="1" xfId="0" applyNumberFormat="1" applyFont="1" applyBorder="1" applyAlignment="1">
      <alignment horizontal="center"/>
    </xf>
    <xf numFmtId="0" fontId="2" fillId="9" borderId="1" xfId="0" applyFont="1" applyFill="1" applyBorder="1"/>
    <xf numFmtId="0" fontId="6" fillId="9" borderId="1" xfId="0" applyFont="1" applyFill="1" applyBorder="1"/>
    <xf numFmtId="0" fontId="1" fillId="9" borderId="1" xfId="0" applyFont="1" applyFill="1" applyBorder="1" applyAlignment="1">
      <alignment horizontal="center"/>
    </xf>
    <xf numFmtId="2" fontId="1" fillId="9" borderId="1" xfId="0" applyNumberFormat="1" applyFont="1" applyFill="1" applyBorder="1" applyAlignment="1">
      <alignment horizontal="center"/>
    </xf>
    <xf numFmtId="1" fontId="1" fillId="9" borderId="1" xfId="0" applyNumberFormat="1" applyFont="1" applyFill="1" applyBorder="1" applyAlignment="1">
      <alignment horizontal="center"/>
    </xf>
    <xf numFmtId="0" fontId="1" fillId="9" borderId="0" xfId="0" applyFont="1" applyFill="1"/>
    <xf numFmtId="1" fontId="1" fillId="9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0" fontId="2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6" fillId="0" borderId="1" xfId="0" applyFont="1" applyFill="1" applyBorder="1"/>
    <xf numFmtId="1" fontId="1" fillId="0" borderId="1" xfId="0" applyNumberFormat="1" applyFont="1" applyFill="1" applyBorder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Border="1"/>
    <xf numFmtId="0" fontId="6" fillId="0" borderId="0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6" fillId="0" borderId="0" xfId="0" applyFont="1" applyFill="1" applyBorder="1"/>
    <xf numFmtId="1" fontId="1" fillId="0" borderId="0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</cellXfs>
  <cellStyles count="4">
    <cellStyle name="Comma 12" xfId="3"/>
    <cellStyle name="Normal" xfId="0" builtinId="0"/>
    <cellStyle name="Normal 16" xfId="1"/>
    <cellStyle name="Normal 17" xfId="2"/>
  </cellStyles>
  <dxfs count="0"/>
  <tableStyles count="0" defaultTableStyle="TableStyleMedium2" defaultPivotStyle="PivotStyleLight16"/>
  <colors>
    <mruColors>
      <color rgb="FFB31DA8"/>
      <color rgb="FFFF00FF"/>
      <color rgb="FFCC00CC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8"/>
  <sheetViews>
    <sheetView tabSelected="1" zoomScale="80" zoomScaleNormal="80" workbookViewId="0">
      <selection activeCell="L9" sqref="L9"/>
    </sheetView>
  </sheetViews>
  <sheetFormatPr defaultColWidth="8.7109375" defaultRowHeight="16.5" x14ac:dyDescent="0.25"/>
  <cols>
    <col min="1" max="1" width="18.140625" style="78" customWidth="1"/>
    <col min="2" max="2" width="14.85546875" style="79" customWidth="1"/>
    <col min="3" max="3" width="10.28515625" style="79" customWidth="1"/>
    <col min="4" max="4" width="14" style="79" customWidth="1"/>
    <col min="5" max="5" width="18" style="79" customWidth="1"/>
    <col min="6" max="6" width="15.140625" style="79" customWidth="1"/>
    <col min="7" max="7" width="16.28515625" style="79" customWidth="1"/>
    <col min="8" max="8" width="10.85546875" style="79" customWidth="1"/>
    <col min="9" max="9" width="14.5703125" style="79" customWidth="1"/>
    <col min="10" max="10" width="17" style="79" customWidth="1"/>
    <col min="11" max="11" width="12.28515625" style="79" customWidth="1"/>
    <col min="12" max="13" width="10.7109375" style="79" customWidth="1"/>
    <col min="14" max="14" width="10.140625" style="78" bestFit="1" customWidth="1"/>
    <col min="15" max="15" width="10.7109375" style="78" bestFit="1" customWidth="1"/>
    <col min="16" max="16" width="8.140625" style="78" bestFit="1" customWidth="1"/>
    <col min="17" max="17" width="10.140625" style="78" bestFit="1" customWidth="1"/>
    <col min="18" max="18" width="16" style="78" bestFit="1" customWidth="1"/>
    <col min="19" max="19" width="12.85546875" style="78" bestFit="1" customWidth="1"/>
    <col min="20" max="20" width="12.28515625" style="78" bestFit="1" customWidth="1"/>
    <col min="21" max="21" width="13.42578125" style="78" customWidth="1"/>
    <col min="22" max="16384" width="8.7109375" style="78"/>
  </cols>
  <sheetData>
    <row r="1" spans="1:18" x14ac:dyDescent="0.25">
      <c r="I1" s="78"/>
      <c r="J1" s="78"/>
      <c r="K1" s="78"/>
      <c r="L1" s="78"/>
      <c r="M1" s="78"/>
    </row>
    <row r="3" spans="1:18" x14ac:dyDescent="0.25">
      <c r="A3" s="80" t="s">
        <v>0</v>
      </c>
      <c r="B3" s="81" t="s">
        <v>21</v>
      </c>
      <c r="C3" s="82" t="s">
        <v>1</v>
      </c>
      <c r="D3" s="83"/>
      <c r="E3" s="84"/>
      <c r="F3" s="82" t="s">
        <v>2</v>
      </c>
      <c r="G3" s="83"/>
      <c r="H3" s="84"/>
      <c r="I3" s="80" t="s">
        <v>3</v>
      </c>
      <c r="J3" s="80"/>
      <c r="K3" s="80"/>
      <c r="L3" s="85" t="s">
        <v>16</v>
      </c>
      <c r="M3" s="78"/>
    </row>
    <row r="4" spans="1:18" ht="49.5" x14ac:dyDescent="0.25">
      <c r="A4" s="80"/>
      <c r="B4" s="80"/>
      <c r="C4" s="86" t="s">
        <v>31</v>
      </c>
      <c r="D4" s="86" t="s">
        <v>32</v>
      </c>
      <c r="E4" s="86" t="s">
        <v>24</v>
      </c>
      <c r="F4" s="86" t="s">
        <v>44</v>
      </c>
      <c r="G4" s="86" t="s">
        <v>45</v>
      </c>
      <c r="H4" s="86" t="s">
        <v>46</v>
      </c>
      <c r="I4" s="86" t="s">
        <v>47</v>
      </c>
      <c r="J4" s="86" t="s">
        <v>48</v>
      </c>
      <c r="K4" s="86" t="s">
        <v>46</v>
      </c>
      <c r="L4" s="86" t="s">
        <v>49</v>
      </c>
      <c r="M4" s="78"/>
    </row>
    <row r="5" spans="1:18" x14ac:dyDescent="0.25">
      <c r="A5" s="85" t="s">
        <v>10</v>
      </c>
      <c r="B5" s="106">
        <v>12817</v>
      </c>
      <c r="C5" s="107">
        <f t="shared" ref="C5:C7" si="0">B5*13%</f>
        <v>1666.21</v>
      </c>
      <c r="D5" s="107">
        <f t="shared" ref="D5:D7" si="1">B5*3%</f>
        <v>384.51</v>
      </c>
      <c r="E5" s="108">
        <f t="shared" ref="E5:E7" si="2">B5*0.16%</f>
        <v>20.507200000000001</v>
      </c>
      <c r="F5" s="109">
        <f t="shared" ref="F5:F6" si="3">C5*50%</f>
        <v>833.10500000000002</v>
      </c>
      <c r="G5" s="109">
        <f t="shared" ref="G5:G7" si="4">F5*50%</f>
        <v>416.55250000000001</v>
      </c>
      <c r="H5" s="107"/>
      <c r="I5" s="109">
        <f t="shared" ref="I5:I7" si="5">D5*55%</f>
        <v>211.48050000000001</v>
      </c>
      <c r="J5" s="109">
        <f t="shared" ref="J5:J7" si="6">I5*55%</f>
        <v>116.31427500000001</v>
      </c>
      <c r="K5" s="107"/>
      <c r="L5" s="109">
        <f t="shared" ref="L5:L7" si="7">E5*40%</f>
        <v>8.2028800000000004</v>
      </c>
      <c r="M5" s="78"/>
      <c r="O5" s="79"/>
      <c r="P5" s="79"/>
      <c r="Q5" s="79"/>
      <c r="R5" s="79"/>
    </row>
    <row r="6" spans="1:18" x14ac:dyDescent="0.25">
      <c r="A6" s="85" t="s">
        <v>11</v>
      </c>
      <c r="B6" s="106">
        <v>11253</v>
      </c>
      <c r="C6" s="107">
        <f t="shared" si="0"/>
        <v>1462.89</v>
      </c>
      <c r="D6" s="107">
        <f t="shared" si="1"/>
        <v>337.59</v>
      </c>
      <c r="E6" s="108">
        <f t="shared" si="2"/>
        <v>18.004799999999999</v>
      </c>
      <c r="F6" s="109">
        <f t="shared" si="3"/>
        <v>731.44500000000005</v>
      </c>
      <c r="G6" s="109">
        <f t="shared" si="4"/>
        <v>365.72250000000003</v>
      </c>
      <c r="H6" s="107"/>
      <c r="I6" s="109">
        <f t="shared" si="5"/>
        <v>185.67449999999999</v>
      </c>
      <c r="J6" s="109">
        <f t="shared" si="6"/>
        <v>102.120975</v>
      </c>
      <c r="K6" s="107"/>
      <c r="L6" s="109">
        <f t="shared" si="7"/>
        <v>7.2019200000000003</v>
      </c>
      <c r="M6" s="78"/>
      <c r="O6" s="79"/>
      <c r="P6" s="79"/>
      <c r="Q6" s="79"/>
      <c r="R6" s="79"/>
    </row>
    <row r="7" spans="1:18" x14ac:dyDescent="0.25">
      <c r="A7" s="85" t="s">
        <v>13</v>
      </c>
      <c r="B7" s="106">
        <v>18515</v>
      </c>
      <c r="C7" s="107">
        <f t="shared" si="0"/>
        <v>2406.9500000000003</v>
      </c>
      <c r="D7" s="107">
        <f t="shared" si="1"/>
        <v>555.44999999999993</v>
      </c>
      <c r="E7" s="108">
        <f t="shared" si="2"/>
        <v>29.624000000000002</v>
      </c>
      <c r="F7" s="109">
        <f>C7*50%</f>
        <v>1203.4750000000001</v>
      </c>
      <c r="G7" s="109">
        <f t="shared" si="4"/>
        <v>601.73750000000007</v>
      </c>
      <c r="H7" s="107"/>
      <c r="I7" s="109">
        <f t="shared" si="5"/>
        <v>305.4975</v>
      </c>
      <c r="J7" s="109">
        <f t="shared" si="6"/>
        <v>168.02362500000001</v>
      </c>
      <c r="K7" s="107"/>
      <c r="L7" s="109">
        <f t="shared" si="7"/>
        <v>11.849600000000002</v>
      </c>
      <c r="M7" s="78"/>
      <c r="O7" s="79"/>
      <c r="P7" s="79"/>
      <c r="Q7" s="90"/>
      <c r="R7" s="79"/>
    </row>
    <row r="8" spans="1:18" s="91" customFormat="1" x14ac:dyDescent="0.25">
      <c r="A8" s="85" t="s">
        <v>14</v>
      </c>
      <c r="B8" s="110">
        <f>SUM(B5:B7)</f>
        <v>42585</v>
      </c>
      <c r="C8" s="110">
        <f>SUM(C5:C7)</f>
        <v>5536.0500000000011</v>
      </c>
      <c r="D8" s="110">
        <f>SUM(D5:D7)</f>
        <v>1277.5499999999997</v>
      </c>
      <c r="E8" s="110">
        <f>SUM(E5:E7)</f>
        <v>68.135999999999996</v>
      </c>
      <c r="F8" s="110">
        <f>SUM(F5:F7)</f>
        <v>2768.0250000000005</v>
      </c>
      <c r="G8" s="110">
        <f>SUM(G5:G7)</f>
        <v>1384.0125000000003</v>
      </c>
      <c r="H8" s="110">
        <f>SUM(H5:H7)</f>
        <v>0</v>
      </c>
      <c r="I8" s="110">
        <f>SUM(I5:I7)</f>
        <v>702.65249999999992</v>
      </c>
      <c r="J8" s="110">
        <f>SUM(J5:J7)</f>
        <v>386.45887500000003</v>
      </c>
      <c r="K8" s="110">
        <f>SUM(K5:K7)</f>
        <v>0</v>
      </c>
      <c r="L8" s="110">
        <f>SUM(L5:L7)</f>
        <v>27.254400000000004</v>
      </c>
    </row>
    <row r="9" spans="1:18" s="91" customFormat="1" x14ac:dyDescent="0.25">
      <c r="A9" s="92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</row>
    <row r="10" spans="1:18" x14ac:dyDescent="0.25">
      <c r="A10" s="80" t="s">
        <v>0</v>
      </c>
      <c r="B10" s="80" t="s">
        <v>53</v>
      </c>
      <c r="C10" s="80" t="s">
        <v>20</v>
      </c>
      <c r="D10" s="80" t="s">
        <v>35</v>
      </c>
      <c r="E10" s="81" t="s">
        <v>40</v>
      </c>
      <c r="F10" s="81" t="s">
        <v>18</v>
      </c>
      <c r="G10" s="81" t="s">
        <v>19</v>
      </c>
      <c r="H10" s="95"/>
    </row>
    <row r="11" spans="1:18" ht="33.75" customHeight="1" x14ac:dyDescent="0.25">
      <c r="A11" s="80"/>
      <c r="B11" s="80"/>
      <c r="C11" s="80"/>
      <c r="D11" s="80"/>
      <c r="E11" s="80"/>
      <c r="F11" s="80"/>
      <c r="G11" s="80"/>
      <c r="H11" s="96"/>
    </row>
    <row r="12" spans="1:18" x14ac:dyDescent="0.25">
      <c r="A12" s="87" t="s">
        <v>10</v>
      </c>
      <c r="B12" s="88">
        <v>9882</v>
      </c>
      <c r="C12" s="88">
        <v>7488</v>
      </c>
      <c r="D12" s="88">
        <v>5487</v>
      </c>
      <c r="E12" s="89">
        <f t="shared" ref="E12:E13" si="8">D12*80%</f>
        <v>4389.6000000000004</v>
      </c>
      <c r="F12" s="89">
        <f t="shared" ref="F12:F14" si="9">C12*16%</f>
        <v>1198.08</v>
      </c>
      <c r="G12" s="89">
        <f t="shared" ref="G12:G14" si="10">C12*8%</f>
        <v>599.04</v>
      </c>
      <c r="H12" s="90"/>
    </row>
    <row r="13" spans="1:18" x14ac:dyDescent="0.25">
      <c r="A13" s="87" t="s">
        <v>11</v>
      </c>
      <c r="B13" s="88">
        <v>9319</v>
      </c>
      <c r="C13" s="88">
        <v>7076</v>
      </c>
      <c r="D13" s="88">
        <v>4872</v>
      </c>
      <c r="E13" s="89">
        <f t="shared" si="8"/>
        <v>3897.6000000000004</v>
      </c>
      <c r="F13" s="89">
        <f t="shared" si="9"/>
        <v>1132.1600000000001</v>
      </c>
      <c r="G13" s="89">
        <f t="shared" si="10"/>
        <v>566.08000000000004</v>
      </c>
      <c r="H13" s="90"/>
    </row>
    <row r="14" spans="1:18" x14ac:dyDescent="0.25">
      <c r="A14" s="87" t="s">
        <v>13</v>
      </c>
      <c r="B14" s="88">
        <v>15305</v>
      </c>
      <c r="C14" s="88">
        <v>11330</v>
      </c>
      <c r="D14" s="88">
        <v>8458</v>
      </c>
      <c r="E14" s="89">
        <f>D14*80%</f>
        <v>6766.4000000000005</v>
      </c>
      <c r="F14" s="89">
        <f t="shared" si="9"/>
        <v>1812.8</v>
      </c>
      <c r="G14" s="89">
        <f t="shared" si="10"/>
        <v>906.4</v>
      </c>
      <c r="H14" s="90"/>
    </row>
    <row r="15" spans="1:18" x14ac:dyDescent="0.25">
      <c r="A15" s="87" t="s">
        <v>14</v>
      </c>
      <c r="B15" s="98">
        <f ca="1">SUM(B12:B17)</f>
        <v>34506</v>
      </c>
      <c r="C15" s="98">
        <f ca="1">SUM(C12:C17)</f>
        <v>25894</v>
      </c>
      <c r="D15" s="98">
        <f ca="1">SUM(D12:D17)</f>
        <v>18817</v>
      </c>
      <c r="E15" s="98">
        <f ca="1">SUM(E12:E17)</f>
        <v>15053.600000000002</v>
      </c>
      <c r="F15" s="98">
        <f ca="1">SUM(F12:F17)</f>
        <v>4143.04</v>
      </c>
      <c r="G15" s="98">
        <f ca="1">SUM(G12:G17)</f>
        <v>2071.52</v>
      </c>
      <c r="H15" s="90"/>
    </row>
    <row r="16" spans="1:18" x14ac:dyDescent="0.25">
      <c r="A16" s="92" t="s">
        <v>83</v>
      </c>
      <c r="B16" s="104"/>
      <c r="C16" s="104"/>
      <c r="D16" s="104"/>
      <c r="E16" s="105">
        <f>15053/4</f>
        <v>3763.25</v>
      </c>
      <c r="F16" s="105"/>
      <c r="G16" s="105"/>
      <c r="H16" s="90"/>
    </row>
    <row r="17" spans="1:18" x14ac:dyDescent="0.25">
      <c r="A17" s="92"/>
      <c r="B17" s="104"/>
      <c r="C17" s="104"/>
      <c r="D17" s="104"/>
      <c r="E17" s="105"/>
      <c r="F17" s="105"/>
      <c r="G17" s="105"/>
      <c r="H17" s="90"/>
    </row>
    <row r="18" spans="1:18" x14ac:dyDescent="0.25">
      <c r="A18" s="91" t="s">
        <v>29</v>
      </c>
      <c r="B18" s="91"/>
      <c r="C18" s="91"/>
      <c r="D18" s="91"/>
    </row>
    <row r="19" spans="1:18" x14ac:dyDescent="0.25">
      <c r="A19" s="78" t="s">
        <v>36</v>
      </c>
      <c r="B19" s="78"/>
      <c r="C19" s="78"/>
      <c r="D19" s="78"/>
      <c r="E19" s="78"/>
      <c r="F19" s="78"/>
      <c r="G19" s="78"/>
      <c r="H19" s="78"/>
      <c r="I19" s="78"/>
    </row>
    <row r="20" spans="1:18" x14ac:dyDescent="0.25">
      <c r="A20" s="103" t="s">
        <v>42</v>
      </c>
      <c r="B20" s="103"/>
      <c r="C20" s="103"/>
      <c r="D20" s="103"/>
      <c r="E20" s="103"/>
      <c r="F20" s="103"/>
      <c r="G20" s="103"/>
      <c r="H20" s="103"/>
      <c r="I20" s="103"/>
    </row>
    <row r="21" spans="1:18" x14ac:dyDescent="0.25">
      <c r="A21" s="78" t="s">
        <v>37</v>
      </c>
      <c r="B21" s="78"/>
      <c r="C21" s="78"/>
      <c r="D21" s="78"/>
      <c r="E21" s="78"/>
      <c r="F21" s="78"/>
      <c r="G21" s="78"/>
      <c r="H21" s="78"/>
      <c r="I21" s="78"/>
    </row>
    <row r="22" spans="1:18" s="91" customFormat="1" x14ac:dyDescent="0.25">
      <c r="A22" s="103" t="s">
        <v>43</v>
      </c>
      <c r="B22" s="103"/>
      <c r="C22" s="103"/>
      <c r="D22" s="103"/>
      <c r="E22" s="103"/>
      <c r="F22" s="103"/>
      <c r="G22" s="103"/>
      <c r="H22" s="103"/>
      <c r="I22" s="103"/>
    </row>
    <row r="23" spans="1:18" s="91" customFormat="1" x14ac:dyDescent="0.25">
      <c r="A23" s="92"/>
      <c r="B23" s="93"/>
      <c r="C23" s="93"/>
      <c r="D23" s="93"/>
      <c r="E23" s="93"/>
      <c r="F23" s="93"/>
      <c r="G23" s="93"/>
      <c r="H23" s="99"/>
      <c r="J23" s="100"/>
      <c r="K23" s="100"/>
      <c r="L23" s="100"/>
      <c r="M23" s="100"/>
      <c r="N23" s="100"/>
      <c r="O23" s="100"/>
      <c r="P23" s="100"/>
      <c r="Q23" s="100"/>
      <c r="R23" s="100"/>
    </row>
    <row r="24" spans="1:18" x14ac:dyDescent="0.25">
      <c r="I24" s="78"/>
      <c r="J24" s="78"/>
      <c r="K24" s="78"/>
      <c r="L24" s="78"/>
      <c r="M24" s="78"/>
      <c r="R24" s="101"/>
    </row>
    <row r="25" spans="1:18" x14ac:dyDescent="0.25">
      <c r="A25" s="94" t="s">
        <v>33</v>
      </c>
      <c r="B25" s="94"/>
      <c r="C25" s="94"/>
      <c r="D25" s="94"/>
      <c r="E25" s="94"/>
      <c r="F25" s="94"/>
      <c r="G25" s="94"/>
      <c r="H25" s="94"/>
      <c r="I25" s="94"/>
      <c r="K25" s="102"/>
      <c r="L25" s="102"/>
      <c r="M25" s="102"/>
      <c r="N25" s="102"/>
      <c r="O25" s="102"/>
      <c r="P25" s="102"/>
      <c r="Q25" s="102"/>
      <c r="R25" s="102"/>
    </row>
    <row r="26" spans="1:18" x14ac:dyDescent="0.25">
      <c r="A26" s="94" t="s">
        <v>34</v>
      </c>
      <c r="B26" s="94"/>
      <c r="C26" s="94"/>
      <c r="D26" s="94"/>
      <c r="E26" s="94"/>
      <c r="F26" s="94"/>
      <c r="G26" s="94"/>
      <c r="H26" s="94"/>
      <c r="I26" s="94"/>
      <c r="J26" s="78"/>
      <c r="K26" s="78"/>
      <c r="L26" s="78"/>
      <c r="M26" s="78"/>
    </row>
    <row r="27" spans="1:18" x14ac:dyDescent="0.25">
      <c r="A27" s="94" t="s">
        <v>17</v>
      </c>
      <c r="B27" s="94"/>
      <c r="C27" s="94"/>
      <c r="D27" s="94"/>
      <c r="E27" s="94"/>
      <c r="F27" s="94"/>
      <c r="G27" s="94"/>
      <c r="H27" s="94"/>
      <c r="I27" s="94"/>
    </row>
    <row r="28" spans="1:18" ht="17.25" x14ac:dyDescent="0.3">
      <c r="A28" s="97" t="s">
        <v>41</v>
      </c>
      <c r="B28" s="97"/>
      <c r="C28" s="97"/>
      <c r="D28" s="97"/>
      <c r="E28" s="97"/>
      <c r="F28" s="97"/>
      <c r="G28" s="97"/>
      <c r="H28" s="97"/>
      <c r="I28" s="97"/>
      <c r="J28" s="78"/>
      <c r="K28" s="78"/>
      <c r="L28" s="78"/>
      <c r="M28" s="78"/>
    </row>
    <row r="29" spans="1:18" x14ac:dyDescent="0.25">
      <c r="A29" s="94" t="s">
        <v>2</v>
      </c>
      <c r="B29" s="94"/>
      <c r="C29" s="94"/>
      <c r="D29" s="94"/>
      <c r="E29" s="94"/>
      <c r="F29" s="94"/>
      <c r="G29" s="94"/>
      <c r="H29" s="94"/>
      <c r="I29" s="94"/>
    </row>
    <row r="30" spans="1:18" x14ac:dyDescent="0.25">
      <c r="A30" s="97" t="s">
        <v>25</v>
      </c>
      <c r="B30" s="97"/>
      <c r="C30" s="97"/>
      <c r="D30" s="97"/>
      <c r="E30" s="97"/>
      <c r="F30" s="97"/>
      <c r="G30" s="97"/>
      <c r="H30" s="97"/>
      <c r="I30" s="97"/>
      <c r="J30" s="78"/>
      <c r="K30" s="78"/>
      <c r="L30" s="78"/>
      <c r="M30" s="78"/>
    </row>
    <row r="31" spans="1:18" ht="16.5" customHeight="1" x14ac:dyDescent="0.25">
      <c r="A31" s="97" t="s">
        <v>26</v>
      </c>
      <c r="B31" s="97"/>
      <c r="C31" s="97"/>
      <c r="D31" s="97"/>
      <c r="E31" s="97"/>
      <c r="F31" s="97"/>
      <c r="G31" s="97"/>
      <c r="H31" s="97"/>
      <c r="I31" s="97"/>
      <c r="J31" s="78"/>
      <c r="K31" s="78"/>
      <c r="L31" s="78"/>
      <c r="M31" s="78"/>
    </row>
    <row r="32" spans="1:18" ht="23.25" customHeight="1" x14ac:dyDescent="0.25">
      <c r="A32" s="97" t="s">
        <v>22</v>
      </c>
      <c r="B32" s="97"/>
      <c r="C32" s="97"/>
      <c r="D32" s="97"/>
      <c r="E32" s="97"/>
      <c r="F32" s="97"/>
      <c r="G32" s="97"/>
      <c r="H32" s="97"/>
      <c r="I32" s="97"/>
      <c r="J32" s="78"/>
      <c r="K32" s="78"/>
      <c r="L32" s="78"/>
      <c r="M32" s="78"/>
    </row>
    <row r="33" spans="1:13" x14ac:dyDescent="0.25">
      <c r="A33" s="94" t="s">
        <v>3</v>
      </c>
      <c r="B33" s="94"/>
      <c r="C33" s="94"/>
      <c r="D33" s="94"/>
      <c r="E33" s="94"/>
      <c r="F33" s="94"/>
      <c r="G33" s="94"/>
      <c r="H33" s="94"/>
      <c r="I33" s="94"/>
      <c r="J33" s="78"/>
      <c r="K33" s="78"/>
      <c r="L33" s="78"/>
      <c r="M33" s="78"/>
    </row>
    <row r="34" spans="1:13" x14ac:dyDescent="0.25">
      <c r="A34" s="97" t="s">
        <v>38</v>
      </c>
      <c r="B34" s="97"/>
      <c r="C34" s="97"/>
      <c r="D34" s="97"/>
      <c r="E34" s="97"/>
      <c r="F34" s="97"/>
      <c r="G34" s="97"/>
      <c r="H34" s="97"/>
      <c r="I34" s="97"/>
      <c r="J34" s="78"/>
      <c r="K34" s="78"/>
      <c r="L34" s="78"/>
      <c r="M34" s="78"/>
    </row>
    <row r="35" spans="1:13" x14ac:dyDescent="0.25">
      <c r="A35" s="97" t="s">
        <v>39</v>
      </c>
      <c r="B35" s="97"/>
      <c r="C35" s="97"/>
      <c r="D35" s="97"/>
      <c r="E35" s="97"/>
      <c r="F35" s="97"/>
      <c r="G35" s="97"/>
      <c r="H35" s="97"/>
      <c r="I35" s="97"/>
      <c r="J35" s="78"/>
      <c r="K35" s="78"/>
      <c r="L35" s="78"/>
      <c r="M35" s="78"/>
    </row>
    <row r="36" spans="1:13" x14ac:dyDescent="0.25">
      <c r="A36" s="97" t="s">
        <v>27</v>
      </c>
      <c r="B36" s="97"/>
      <c r="C36" s="97"/>
      <c r="D36" s="97"/>
      <c r="E36" s="97"/>
      <c r="F36" s="97"/>
      <c r="G36" s="97"/>
      <c r="H36" s="97"/>
      <c r="I36" s="97"/>
      <c r="J36" s="78"/>
      <c r="K36" s="78"/>
      <c r="L36" s="78"/>
      <c r="M36" s="78"/>
    </row>
    <row r="37" spans="1:13" x14ac:dyDescent="0.25">
      <c r="A37" s="97" t="s">
        <v>23</v>
      </c>
      <c r="B37" s="97"/>
      <c r="C37" s="97"/>
      <c r="D37" s="97"/>
      <c r="E37" s="97"/>
      <c r="F37" s="97"/>
      <c r="G37" s="97"/>
      <c r="H37" s="97"/>
      <c r="I37" s="97"/>
      <c r="J37" s="78"/>
      <c r="K37" s="78"/>
      <c r="L37" s="78"/>
      <c r="M37" s="78"/>
    </row>
    <row r="38" spans="1:13" x14ac:dyDescent="0.25">
      <c r="A38" s="94" t="s">
        <v>16</v>
      </c>
      <c r="B38" s="94"/>
      <c r="C38" s="94"/>
      <c r="D38" s="94"/>
      <c r="E38" s="94"/>
      <c r="F38" s="94"/>
      <c r="G38" s="94"/>
      <c r="H38" s="94"/>
      <c r="I38" s="94"/>
      <c r="J38" s="78"/>
      <c r="K38" s="78"/>
      <c r="L38" s="78"/>
      <c r="M38" s="78"/>
    </row>
    <row r="39" spans="1:13" x14ac:dyDescent="0.25">
      <c r="A39" s="97" t="s">
        <v>28</v>
      </c>
      <c r="B39" s="97"/>
      <c r="C39" s="97"/>
      <c r="D39" s="97"/>
      <c r="E39" s="97"/>
      <c r="F39" s="97"/>
      <c r="G39" s="97"/>
      <c r="H39" s="97"/>
      <c r="I39" s="97"/>
      <c r="J39" s="78"/>
      <c r="K39" s="78"/>
      <c r="L39" s="78"/>
      <c r="M39" s="78"/>
    </row>
    <row r="40" spans="1:13" x14ac:dyDescent="0.25">
      <c r="E40" s="78"/>
      <c r="F40" s="78"/>
      <c r="G40" s="78"/>
      <c r="H40" s="78"/>
      <c r="I40" s="78"/>
      <c r="J40" s="78"/>
      <c r="K40" s="78"/>
      <c r="L40" s="78"/>
      <c r="M40" s="78"/>
    </row>
    <row r="41" spans="1:13" x14ac:dyDescent="0.25">
      <c r="F41" s="78"/>
      <c r="G41" s="78"/>
      <c r="H41" s="78"/>
      <c r="I41" s="78"/>
      <c r="J41" s="78"/>
      <c r="K41" s="78"/>
      <c r="L41" s="78"/>
      <c r="M41" s="78"/>
    </row>
    <row r="48" spans="1:13" x14ac:dyDescent="0.25">
      <c r="J48" s="78"/>
      <c r="K48" s="78"/>
      <c r="L48" s="78"/>
      <c r="M48" s="78"/>
    </row>
    <row r="49" spans="10:13" x14ac:dyDescent="0.25">
      <c r="J49" s="78"/>
      <c r="K49" s="78"/>
      <c r="L49" s="78"/>
      <c r="M49" s="78"/>
    </row>
    <row r="50" spans="10:13" x14ac:dyDescent="0.25">
      <c r="J50" s="78"/>
      <c r="K50" s="78"/>
      <c r="L50" s="78"/>
      <c r="M50" s="78"/>
    </row>
    <row r="51" spans="10:13" x14ac:dyDescent="0.25">
      <c r="J51" s="78"/>
      <c r="K51" s="78"/>
      <c r="L51" s="78"/>
      <c r="M51" s="78"/>
    </row>
    <row r="52" spans="10:13" x14ac:dyDescent="0.25">
      <c r="J52" s="78"/>
      <c r="K52" s="78"/>
      <c r="L52" s="78"/>
      <c r="M52" s="78"/>
    </row>
    <row r="53" spans="10:13" x14ac:dyDescent="0.25">
      <c r="J53" s="78"/>
      <c r="K53" s="78"/>
      <c r="L53" s="78"/>
      <c r="M53" s="78"/>
    </row>
    <row r="54" spans="10:13" x14ac:dyDescent="0.25">
      <c r="J54" s="78"/>
      <c r="K54" s="78"/>
      <c r="L54" s="78"/>
      <c r="M54" s="78"/>
    </row>
    <row r="55" spans="10:13" x14ac:dyDescent="0.25">
      <c r="J55" s="78"/>
      <c r="K55" s="78"/>
      <c r="L55" s="78"/>
      <c r="M55" s="78"/>
    </row>
    <row r="56" spans="10:13" x14ac:dyDescent="0.25">
      <c r="K56" s="78"/>
      <c r="L56" s="78"/>
      <c r="M56" s="78"/>
    </row>
    <row r="57" spans="10:13" x14ac:dyDescent="0.25">
      <c r="K57" s="78"/>
      <c r="L57" s="78"/>
      <c r="M57" s="78"/>
    </row>
    <row r="58" spans="10:13" x14ac:dyDescent="0.25">
      <c r="K58" s="78"/>
      <c r="L58" s="78"/>
      <c r="M58" s="78"/>
    </row>
  </sheetData>
  <mergeCells count="30">
    <mergeCell ref="K25:R25"/>
    <mergeCell ref="A20:I20"/>
    <mergeCell ref="A22:I22"/>
    <mergeCell ref="A34:I34"/>
    <mergeCell ref="A35:I35"/>
    <mergeCell ref="A36:I36"/>
    <mergeCell ref="A37:I37"/>
    <mergeCell ref="A38:I38"/>
    <mergeCell ref="A39:I39"/>
    <mergeCell ref="A28:I28"/>
    <mergeCell ref="A29:I29"/>
    <mergeCell ref="A30:I30"/>
    <mergeCell ref="A31:I31"/>
    <mergeCell ref="A32:I32"/>
    <mergeCell ref="A33:I33"/>
    <mergeCell ref="A25:I25"/>
    <mergeCell ref="A26:I26"/>
    <mergeCell ref="A10:A11"/>
    <mergeCell ref="B10:B11"/>
    <mergeCell ref="C10:C11"/>
    <mergeCell ref="D10:D11"/>
    <mergeCell ref="E10:E11"/>
    <mergeCell ref="F10:F11"/>
    <mergeCell ref="G10:G11"/>
    <mergeCell ref="A27:I27"/>
    <mergeCell ref="A3:A4"/>
    <mergeCell ref="B3:B4"/>
    <mergeCell ref="C3:E3"/>
    <mergeCell ref="F3:H3"/>
    <mergeCell ref="I3:K3"/>
  </mergeCells>
  <pageMargins left="0.7" right="0.7" top="0.75" bottom="0.75" header="0.3" footer="0.3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8"/>
  <sheetViews>
    <sheetView topLeftCell="A4" zoomScale="80" zoomScaleNormal="80" workbookViewId="0">
      <selection activeCell="J19" sqref="J19:R19"/>
    </sheetView>
  </sheetViews>
  <sheetFormatPr defaultColWidth="8.7109375" defaultRowHeight="16.5" x14ac:dyDescent="0.25"/>
  <cols>
    <col min="1" max="1" width="10" style="5" customWidth="1"/>
    <col min="2" max="2" width="14.85546875" style="1" customWidth="1"/>
    <col min="3" max="3" width="10.28515625" style="1" customWidth="1"/>
    <col min="4" max="4" width="14" style="1" customWidth="1"/>
    <col min="5" max="5" width="18" style="1" customWidth="1"/>
    <col min="6" max="6" width="15.140625" style="1" customWidth="1"/>
    <col min="7" max="7" width="16.28515625" style="1" customWidth="1"/>
    <col min="8" max="8" width="10.85546875" style="1" customWidth="1"/>
    <col min="9" max="9" width="14.5703125" style="1" customWidth="1"/>
    <col min="10" max="10" width="17" style="1" customWidth="1"/>
    <col min="11" max="11" width="12.28515625" style="1" customWidth="1"/>
    <col min="12" max="13" width="10.7109375" style="1" customWidth="1"/>
    <col min="14" max="14" width="10.140625" style="5" bestFit="1" customWidth="1"/>
    <col min="15" max="15" width="10.7109375" style="5" bestFit="1" customWidth="1"/>
    <col min="16" max="16" width="8.140625" style="5" bestFit="1" customWidth="1"/>
    <col min="17" max="17" width="10.140625" style="5" bestFit="1" customWidth="1"/>
    <col min="18" max="18" width="16" style="5" bestFit="1" customWidth="1"/>
    <col min="19" max="19" width="12.85546875" style="5" bestFit="1" customWidth="1"/>
    <col min="20" max="20" width="12.28515625" style="5" bestFit="1" customWidth="1"/>
    <col min="21" max="21" width="13.42578125" style="5" customWidth="1"/>
    <col min="22" max="16384" width="8.7109375" style="5"/>
  </cols>
  <sheetData>
    <row r="1" spans="1:20" x14ac:dyDescent="0.25">
      <c r="I1" s="5"/>
      <c r="J1" s="5"/>
      <c r="K1" s="5"/>
      <c r="L1" s="5"/>
      <c r="M1" s="5"/>
    </row>
    <row r="3" spans="1:20" x14ac:dyDescent="0.25">
      <c r="A3" s="54" t="s">
        <v>0</v>
      </c>
      <c r="B3" s="61" t="s">
        <v>21</v>
      </c>
      <c r="C3" s="62" t="s">
        <v>1</v>
      </c>
      <c r="D3" s="63"/>
      <c r="E3" s="64"/>
      <c r="F3" s="68" t="s">
        <v>2</v>
      </c>
      <c r="G3" s="69"/>
      <c r="H3" s="70"/>
      <c r="I3" s="54" t="s">
        <v>3</v>
      </c>
      <c r="J3" s="54"/>
      <c r="K3" s="54"/>
      <c r="L3" s="3" t="s">
        <v>16</v>
      </c>
      <c r="M3" s="5"/>
    </row>
    <row r="4" spans="1:20" ht="49.5" x14ac:dyDescent="0.25">
      <c r="A4" s="54"/>
      <c r="B4" s="54"/>
      <c r="C4" s="14" t="s">
        <v>31</v>
      </c>
      <c r="D4" s="14" t="s">
        <v>32</v>
      </c>
      <c r="E4" s="14" t="s">
        <v>24</v>
      </c>
      <c r="F4" s="15" t="s">
        <v>44</v>
      </c>
      <c r="G4" s="4" t="s">
        <v>45</v>
      </c>
      <c r="H4" s="4" t="s">
        <v>46</v>
      </c>
      <c r="I4" s="15" t="s">
        <v>47</v>
      </c>
      <c r="J4" s="4" t="s">
        <v>48</v>
      </c>
      <c r="K4" s="4" t="s">
        <v>46</v>
      </c>
      <c r="L4" s="4" t="s">
        <v>49</v>
      </c>
      <c r="M4" s="5"/>
    </row>
    <row r="5" spans="1:20" x14ac:dyDescent="0.25">
      <c r="A5" s="2" t="s">
        <v>4</v>
      </c>
      <c r="B5" s="28">
        <v>21320</v>
      </c>
      <c r="C5" s="6">
        <f t="shared" ref="C5:C14" si="0">B5*13%</f>
        <v>2771.6</v>
      </c>
      <c r="D5" s="6">
        <f t="shared" ref="D5:D14" si="1">B5*3%</f>
        <v>639.6</v>
      </c>
      <c r="E5" s="7">
        <f t="shared" ref="E5:E14" si="2">B5*0.16%</f>
        <v>34.112000000000002</v>
      </c>
      <c r="F5" s="8">
        <f t="shared" ref="F5:F13" si="3">C5*50%</f>
        <v>1385.8</v>
      </c>
      <c r="G5" s="9">
        <f t="shared" ref="G5:G14" si="4">F5*50%</f>
        <v>692.9</v>
      </c>
      <c r="H5" s="10"/>
      <c r="I5" s="8">
        <f>D5*55%</f>
        <v>351.78000000000003</v>
      </c>
      <c r="J5" s="9">
        <f>I5*55%</f>
        <v>193.47900000000004</v>
      </c>
      <c r="K5" s="10"/>
      <c r="L5" s="9">
        <f t="shared" ref="L5:L14" si="5">E5*40%</f>
        <v>13.644800000000002</v>
      </c>
      <c r="M5" s="5"/>
    </row>
    <row r="6" spans="1:20" x14ac:dyDescent="0.25">
      <c r="A6" s="2" t="s">
        <v>5</v>
      </c>
      <c r="B6" s="28">
        <v>14843</v>
      </c>
      <c r="C6" s="6">
        <f t="shared" si="0"/>
        <v>1929.5900000000001</v>
      </c>
      <c r="D6" s="6">
        <f t="shared" si="1"/>
        <v>445.28999999999996</v>
      </c>
      <c r="E6" s="7">
        <f t="shared" si="2"/>
        <v>23.748800000000003</v>
      </c>
      <c r="F6" s="8">
        <f t="shared" si="3"/>
        <v>964.79500000000007</v>
      </c>
      <c r="G6" s="9">
        <f t="shared" si="4"/>
        <v>482.39750000000004</v>
      </c>
      <c r="H6" s="10"/>
      <c r="I6" s="8">
        <f t="shared" ref="I6:I14" si="6">D6*55%</f>
        <v>244.90950000000001</v>
      </c>
      <c r="J6" s="9">
        <f t="shared" ref="J6:J14" si="7">I6*55%</f>
        <v>134.70022500000002</v>
      </c>
      <c r="K6" s="10"/>
      <c r="L6" s="9">
        <f t="shared" si="5"/>
        <v>9.4995200000000022</v>
      </c>
      <c r="M6" s="5"/>
    </row>
    <row r="7" spans="1:20" x14ac:dyDescent="0.25">
      <c r="A7" s="2" t="s">
        <v>6</v>
      </c>
      <c r="B7" s="28">
        <v>18899</v>
      </c>
      <c r="C7" s="6">
        <f t="shared" si="0"/>
        <v>2456.87</v>
      </c>
      <c r="D7" s="6">
        <f t="shared" si="1"/>
        <v>566.97</v>
      </c>
      <c r="E7" s="7">
        <f t="shared" si="2"/>
        <v>30.238400000000002</v>
      </c>
      <c r="F7" s="8">
        <f t="shared" si="3"/>
        <v>1228.4349999999999</v>
      </c>
      <c r="G7" s="9">
        <f t="shared" si="4"/>
        <v>614.21749999999997</v>
      </c>
      <c r="H7" s="10"/>
      <c r="I7" s="8">
        <f t="shared" si="6"/>
        <v>311.83350000000002</v>
      </c>
      <c r="J7" s="9">
        <f t="shared" si="7"/>
        <v>171.50842500000002</v>
      </c>
      <c r="K7" s="10"/>
      <c r="L7" s="9">
        <f t="shared" si="5"/>
        <v>12.095360000000001</v>
      </c>
      <c r="M7" s="5"/>
      <c r="N7" s="57" t="s">
        <v>0</v>
      </c>
      <c r="O7" s="59" t="s">
        <v>53</v>
      </c>
      <c r="P7" s="66" t="s">
        <v>20</v>
      </c>
      <c r="Q7" s="67" t="s">
        <v>35</v>
      </c>
      <c r="R7" s="65" t="s">
        <v>40</v>
      </c>
      <c r="S7" s="61" t="s">
        <v>18</v>
      </c>
      <c r="T7" s="61" t="s">
        <v>19</v>
      </c>
    </row>
    <row r="8" spans="1:20" x14ac:dyDescent="0.25">
      <c r="A8" s="2" t="s">
        <v>7</v>
      </c>
      <c r="B8" s="28">
        <v>21247</v>
      </c>
      <c r="C8" s="6">
        <f t="shared" si="0"/>
        <v>2762.11</v>
      </c>
      <c r="D8" s="6">
        <f t="shared" si="1"/>
        <v>637.41</v>
      </c>
      <c r="E8" s="7">
        <f t="shared" si="2"/>
        <v>33.995200000000004</v>
      </c>
      <c r="F8" s="8">
        <f t="shared" si="3"/>
        <v>1381.0550000000001</v>
      </c>
      <c r="G8" s="9">
        <f t="shared" si="4"/>
        <v>690.52750000000003</v>
      </c>
      <c r="H8" s="10"/>
      <c r="I8" s="8">
        <f t="shared" si="6"/>
        <v>350.57550000000003</v>
      </c>
      <c r="J8" s="9">
        <f t="shared" si="7"/>
        <v>192.81652500000004</v>
      </c>
      <c r="K8" s="10"/>
      <c r="L8" s="9">
        <f t="shared" si="5"/>
        <v>13.598080000000003</v>
      </c>
      <c r="M8" s="5"/>
      <c r="N8" s="58"/>
      <c r="O8" s="60"/>
      <c r="P8" s="66"/>
      <c r="Q8" s="67"/>
      <c r="R8" s="58"/>
      <c r="S8" s="54"/>
      <c r="T8" s="54"/>
    </row>
    <row r="9" spans="1:20" x14ac:dyDescent="0.25">
      <c r="A9" s="2" t="s">
        <v>8</v>
      </c>
      <c r="B9" s="28">
        <v>18615</v>
      </c>
      <c r="C9" s="6">
        <f t="shared" si="0"/>
        <v>2419.9500000000003</v>
      </c>
      <c r="D9" s="6">
        <f t="shared" si="1"/>
        <v>558.44999999999993</v>
      </c>
      <c r="E9" s="7">
        <f t="shared" si="2"/>
        <v>29.784000000000002</v>
      </c>
      <c r="F9" s="8">
        <f t="shared" si="3"/>
        <v>1209.9750000000001</v>
      </c>
      <c r="G9" s="9">
        <f t="shared" si="4"/>
        <v>604.98750000000007</v>
      </c>
      <c r="H9" s="10"/>
      <c r="I9" s="8">
        <f t="shared" si="6"/>
        <v>307.14749999999998</v>
      </c>
      <c r="J9" s="9">
        <f t="shared" si="7"/>
        <v>168.93112500000001</v>
      </c>
      <c r="K9" s="10"/>
      <c r="L9" s="9">
        <f t="shared" si="5"/>
        <v>11.913600000000002</v>
      </c>
      <c r="M9" s="5"/>
      <c r="N9" s="33" t="s">
        <v>13</v>
      </c>
      <c r="O9" s="34">
        <v>15305</v>
      </c>
      <c r="P9" s="34">
        <v>11330</v>
      </c>
      <c r="Q9" s="34">
        <v>8458</v>
      </c>
      <c r="R9" s="37">
        <f>Q9*80%</f>
        <v>6766.4000000000005</v>
      </c>
      <c r="S9" s="37">
        <f t="shared" ref="S9" si="8">P9*16%</f>
        <v>1812.8</v>
      </c>
      <c r="T9" s="37">
        <f t="shared" ref="T9" si="9">P9*8%</f>
        <v>906.4</v>
      </c>
    </row>
    <row r="10" spans="1:20" x14ac:dyDescent="0.25">
      <c r="A10" s="2" t="s">
        <v>9</v>
      </c>
      <c r="B10" s="28">
        <v>9886</v>
      </c>
      <c r="C10" s="6">
        <f t="shared" si="0"/>
        <v>1285.18</v>
      </c>
      <c r="D10" s="6">
        <f t="shared" si="1"/>
        <v>296.58</v>
      </c>
      <c r="E10" s="7">
        <f t="shared" si="2"/>
        <v>15.817600000000001</v>
      </c>
      <c r="F10" s="8">
        <f t="shared" si="3"/>
        <v>642.59</v>
      </c>
      <c r="G10" s="9">
        <f t="shared" si="4"/>
        <v>321.29500000000002</v>
      </c>
      <c r="H10" s="10"/>
      <c r="I10" s="8">
        <f t="shared" si="6"/>
        <v>163.119</v>
      </c>
      <c r="J10" s="9">
        <f t="shared" si="7"/>
        <v>89.715450000000004</v>
      </c>
      <c r="K10" s="10"/>
      <c r="L10" s="9">
        <f t="shared" si="5"/>
        <v>6.3270400000000002</v>
      </c>
      <c r="M10" s="5"/>
      <c r="O10" s="1"/>
      <c r="P10" s="1" t="s">
        <v>77</v>
      </c>
      <c r="Q10" s="1">
        <v>1850</v>
      </c>
      <c r="R10" s="1"/>
    </row>
    <row r="11" spans="1:20" x14ac:dyDescent="0.25">
      <c r="A11" s="2" t="s">
        <v>10</v>
      </c>
      <c r="B11" s="28">
        <v>12817</v>
      </c>
      <c r="C11" s="6">
        <f t="shared" si="0"/>
        <v>1666.21</v>
      </c>
      <c r="D11" s="6">
        <f t="shared" si="1"/>
        <v>384.51</v>
      </c>
      <c r="E11" s="7">
        <f t="shared" si="2"/>
        <v>20.507200000000001</v>
      </c>
      <c r="F11" s="8">
        <f t="shared" si="3"/>
        <v>833.10500000000002</v>
      </c>
      <c r="G11" s="9">
        <f t="shared" si="4"/>
        <v>416.55250000000001</v>
      </c>
      <c r="H11" s="10"/>
      <c r="I11" s="8">
        <f t="shared" si="6"/>
        <v>211.48050000000001</v>
      </c>
      <c r="J11" s="9">
        <f t="shared" si="7"/>
        <v>116.31427500000001</v>
      </c>
      <c r="K11" s="10"/>
      <c r="L11" s="9">
        <f t="shared" si="5"/>
        <v>8.2028800000000004</v>
      </c>
      <c r="M11" s="5"/>
      <c r="O11" s="1"/>
      <c r="P11" s="1" t="s">
        <v>78</v>
      </c>
      <c r="Q11" s="1">
        <v>175</v>
      </c>
      <c r="R11" s="1"/>
    </row>
    <row r="12" spans="1:20" x14ac:dyDescent="0.25">
      <c r="A12" s="2" t="s">
        <v>11</v>
      </c>
      <c r="B12" s="28">
        <v>11253</v>
      </c>
      <c r="C12" s="6">
        <f t="shared" si="0"/>
        <v>1462.89</v>
      </c>
      <c r="D12" s="6">
        <f t="shared" si="1"/>
        <v>337.59</v>
      </c>
      <c r="E12" s="7">
        <f t="shared" si="2"/>
        <v>18.004799999999999</v>
      </c>
      <c r="F12" s="8">
        <f t="shared" si="3"/>
        <v>731.44500000000005</v>
      </c>
      <c r="G12" s="9">
        <f t="shared" si="4"/>
        <v>365.72250000000003</v>
      </c>
      <c r="H12" s="10"/>
      <c r="I12" s="8">
        <f t="shared" si="6"/>
        <v>185.67449999999999</v>
      </c>
      <c r="J12" s="9">
        <f t="shared" si="7"/>
        <v>102.120975</v>
      </c>
      <c r="K12" s="10"/>
      <c r="L12" s="9">
        <f t="shared" si="5"/>
        <v>7.2019200000000003</v>
      </c>
      <c r="M12" s="5"/>
      <c r="O12" s="1"/>
      <c r="P12" s="1" t="s">
        <v>79</v>
      </c>
      <c r="Q12" s="1">
        <v>60</v>
      </c>
      <c r="R12" s="1"/>
    </row>
    <row r="13" spans="1:20" x14ac:dyDescent="0.25">
      <c r="A13" s="2" t="s">
        <v>12</v>
      </c>
      <c r="B13" s="28">
        <v>19434</v>
      </c>
      <c r="C13" s="6">
        <f t="shared" si="0"/>
        <v>2526.42</v>
      </c>
      <c r="D13" s="6">
        <f t="shared" si="1"/>
        <v>583.02</v>
      </c>
      <c r="E13" s="7">
        <f t="shared" si="2"/>
        <v>31.0944</v>
      </c>
      <c r="F13" s="8">
        <f t="shared" si="3"/>
        <v>1263.21</v>
      </c>
      <c r="G13" s="9">
        <f t="shared" si="4"/>
        <v>631.60500000000002</v>
      </c>
      <c r="H13" s="10"/>
      <c r="I13" s="8">
        <f t="shared" si="6"/>
        <v>320.661</v>
      </c>
      <c r="J13" s="9">
        <f t="shared" si="7"/>
        <v>176.36355</v>
      </c>
      <c r="K13" s="10"/>
      <c r="L13" s="9">
        <f t="shared" si="5"/>
        <v>12.437760000000001</v>
      </c>
      <c r="M13" s="5"/>
      <c r="O13" s="1"/>
      <c r="P13" s="1" t="s">
        <v>80</v>
      </c>
      <c r="Q13" s="1">
        <f>SUM(Q10:Q12)</f>
        <v>2085</v>
      </c>
      <c r="R13" s="1"/>
    </row>
    <row r="14" spans="1:20" s="38" customFormat="1" x14ac:dyDescent="0.25">
      <c r="A14" s="33" t="s">
        <v>13</v>
      </c>
      <c r="B14" s="34">
        <v>18515</v>
      </c>
      <c r="C14" s="35">
        <f t="shared" si="0"/>
        <v>2406.9500000000003</v>
      </c>
      <c r="D14" s="35">
        <f t="shared" si="1"/>
        <v>555.44999999999993</v>
      </c>
      <c r="E14" s="36">
        <f t="shared" si="2"/>
        <v>29.624000000000002</v>
      </c>
      <c r="F14" s="37">
        <f>C14*50%</f>
        <v>1203.4750000000001</v>
      </c>
      <c r="G14" s="37">
        <f t="shared" si="4"/>
        <v>601.73750000000007</v>
      </c>
      <c r="H14" s="35"/>
      <c r="I14" s="37">
        <f t="shared" si="6"/>
        <v>305.4975</v>
      </c>
      <c r="J14" s="37">
        <f t="shared" si="7"/>
        <v>168.02362500000001</v>
      </c>
      <c r="K14" s="35"/>
      <c r="L14" s="37">
        <f t="shared" si="5"/>
        <v>11.849600000000002</v>
      </c>
      <c r="N14" s="5"/>
      <c r="O14" s="1" t="s">
        <v>82</v>
      </c>
      <c r="P14" s="1" t="s">
        <v>81</v>
      </c>
      <c r="Q14" s="48">
        <f>R9-Q13</f>
        <v>4681.4000000000005</v>
      </c>
      <c r="R14" s="1"/>
      <c r="S14" s="5"/>
      <c r="T14" s="5"/>
    </row>
    <row r="15" spans="1:20" s="12" customFormat="1" x14ac:dyDescent="0.25">
      <c r="A15" s="2" t="s">
        <v>14</v>
      </c>
      <c r="B15" s="32">
        <f>SUM(B5:B14)</f>
        <v>166829</v>
      </c>
      <c r="C15" s="32">
        <f t="shared" ref="C15:L15" si="10">SUM(C5:C14)</f>
        <v>21687.77</v>
      </c>
      <c r="D15" s="32">
        <f t="shared" si="10"/>
        <v>5004.87</v>
      </c>
      <c r="E15" s="32">
        <f t="shared" si="10"/>
        <v>266.9264</v>
      </c>
      <c r="F15" s="32">
        <f t="shared" si="10"/>
        <v>10843.885</v>
      </c>
      <c r="G15" s="32">
        <f t="shared" si="10"/>
        <v>5421.9425000000001</v>
      </c>
      <c r="H15" s="32">
        <f t="shared" si="10"/>
        <v>0</v>
      </c>
      <c r="I15" s="32">
        <f t="shared" si="10"/>
        <v>2752.6785</v>
      </c>
      <c r="J15" s="32">
        <f t="shared" si="10"/>
        <v>1513.9731750000003</v>
      </c>
      <c r="K15" s="32">
        <f t="shared" si="10"/>
        <v>0</v>
      </c>
      <c r="L15" s="32">
        <f t="shared" si="10"/>
        <v>106.77056000000002</v>
      </c>
    </row>
    <row r="16" spans="1:20" s="12" customFormat="1" x14ac:dyDescent="0.25">
      <c r="A16" s="49"/>
      <c r="B16" s="50">
        <f>B14+B12+B11</f>
        <v>42585</v>
      </c>
      <c r="C16" s="50">
        <f t="shared" ref="C16:L16" si="11">C14+C12+C11</f>
        <v>5536.05</v>
      </c>
      <c r="D16" s="50">
        <f t="shared" si="11"/>
        <v>1277.55</v>
      </c>
      <c r="E16" s="50">
        <f t="shared" si="11"/>
        <v>68.135999999999996</v>
      </c>
      <c r="F16" s="50">
        <f t="shared" si="11"/>
        <v>2768.0250000000001</v>
      </c>
      <c r="G16" s="50">
        <f t="shared" si="11"/>
        <v>1384.0125</v>
      </c>
      <c r="H16" s="50">
        <f t="shared" si="11"/>
        <v>0</v>
      </c>
      <c r="I16" s="50">
        <f t="shared" si="11"/>
        <v>702.65250000000003</v>
      </c>
      <c r="J16" s="50">
        <f t="shared" si="11"/>
        <v>386.45887500000003</v>
      </c>
      <c r="K16" s="50">
        <f t="shared" si="11"/>
        <v>0</v>
      </c>
      <c r="L16" s="50">
        <f t="shared" si="11"/>
        <v>27.254400000000004</v>
      </c>
    </row>
    <row r="17" spans="1:18" x14ac:dyDescent="0.25">
      <c r="B17" s="13"/>
    </row>
    <row r="18" spans="1:18" x14ac:dyDescent="0.25">
      <c r="B18" s="13"/>
      <c r="J18" s="55" t="s">
        <v>33</v>
      </c>
      <c r="K18" s="55"/>
      <c r="L18" s="55"/>
      <c r="M18" s="55"/>
      <c r="N18" s="55"/>
      <c r="O18" s="55"/>
      <c r="P18" s="55"/>
      <c r="Q18" s="55"/>
      <c r="R18" s="55"/>
    </row>
    <row r="19" spans="1:18" x14ac:dyDescent="0.25">
      <c r="D19" s="47"/>
      <c r="E19" s="47"/>
      <c r="F19" s="47"/>
      <c r="G19" s="47"/>
      <c r="J19" s="55" t="s">
        <v>34</v>
      </c>
      <c r="K19" s="55"/>
      <c r="L19" s="55"/>
      <c r="M19" s="55"/>
      <c r="N19" s="55"/>
      <c r="O19" s="55"/>
      <c r="P19" s="55"/>
      <c r="Q19" s="55"/>
      <c r="R19" s="55"/>
    </row>
    <row r="20" spans="1:18" x14ac:dyDescent="0.25">
      <c r="A20" s="57" t="s">
        <v>0</v>
      </c>
      <c r="B20" s="59" t="s">
        <v>53</v>
      </c>
      <c r="C20" s="66" t="s">
        <v>20</v>
      </c>
      <c r="D20" s="67" t="s">
        <v>35</v>
      </c>
      <c r="E20" s="65" t="s">
        <v>40</v>
      </c>
      <c r="F20" s="61" t="s">
        <v>18</v>
      </c>
      <c r="G20" s="61" t="s">
        <v>19</v>
      </c>
      <c r="H20" s="21"/>
      <c r="J20" s="55" t="s">
        <v>17</v>
      </c>
      <c r="K20" s="55"/>
      <c r="L20" s="55"/>
      <c r="M20" s="55"/>
      <c r="N20" s="55"/>
      <c r="O20" s="55"/>
      <c r="P20" s="55"/>
      <c r="Q20" s="55"/>
      <c r="R20" s="55"/>
    </row>
    <row r="21" spans="1:18" ht="33.75" customHeight="1" x14ac:dyDescent="0.3">
      <c r="A21" s="58"/>
      <c r="B21" s="60"/>
      <c r="C21" s="66"/>
      <c r="D21" s="67"/>
      <c r="E21" s="58"/>
      <c r="F21" s="54"/>
      <c r="G21" s="54"/>
      <c r="H21" s="22"/>
      <c r="J21" s="53" t="s">
        <v>41</v>
      </c>
      <c r="K21" s="53"/>
      <c r="L21" s="53"/>
      <c r="M21" s="53"/>
      <c r="N21" s="53"/>
      <c r="O21" s="53"/>
      <c r="P21" s="53"/>
      <c r="Q21" s="53"/>
      <c r="R21" s="53"/>
    </row>
    <row r="22" spans="1:18" x14ac:dyDescent="0.25">
      <c r="A22" s="2" t="s">
        <v>4</v>
      </c>
      <c r="B22" s="30">
        <v>17103</v>
      </c>
      <c r="C22" s="31">
        <v>12796</v>
      </c>
      <c r="D22" s="29">
        <v>10832</v>
      </c>
      <c r="E22" s="9">
        <f>D22*80%</f>
        <v>8665.6</v>
      </c>
      <c r="F22" s="9">
        <f>C22*16%</f>
        <v>2047.3600000000001</v>
      </c>
      <c r="G22" s="9">
        <f>C22*8%</f>
        <v>1023.6800000000001</v>
      </c>
      <c r="H22" s="23"/>
      <c r="J22" s="55" t="s">
        <v>2</v>
      </c>
      <c r="K22" s="55"/>
      <c r="L22" s="55"/>
      <c r="M22" s="55"/>
      <c r="N22" s="55"/>
      <c r="O22" s="55"/>
      <c r="P22" s="55"/>
      <c r="Q22" s="55"/>
      <c r="R22" s="55"/>
    </row>
    <row r="23" spans="1:18" x14ac:dyDescent="0.25">
      <c r="A23" s="2" t="s">
        <v>5</v>
      </c>
      <c r="B23" s="30">
        <v>12242</v>
      </c>
      <c r="C23" s="31">
        <v>9222</v>
      </c>
      <c r="D23" s="29">
        <v>7737</v>
      </c>
      <c r="E23" s="9">
        <f t="shared" ref="E23:E30" si="12">D23*80%</f>
        <v>6189.6</v>
      </c>
      <c r="F23" s="9">
        <f t="shared" ref="F23:F31" si="13">C23*16%</f>
        <v>1475.52</v>
      </c>
      <c r="G23" s="9">
        <f t="shared" ref="G23:G31" si="14">C23*8%</f>
        <v>737.76</v>
      </c>
      <c r="H23" s="23"/>
      <c r="J23" s="53" t="s">
        <v>25</v>
      </c>
      <c r="K23" s="53"/>
      <c r="L23" s="53"/>
      <c r="M23" s="53"/>
      <c r="N23" s="53"/>
      <c r="O23" s="53"/>
      <c r="P23" s="53"/>
      <c r="Q23" s="53"/>
      <c r="R23" s="53"/>
    </row>
    <row r="24" spans="1:18" x14ac:dyDescent="0.25">
      <c r="A24" s="2" t="s">
        <v>6</v>
      </c>
      <c r="B24" s="30">
        <v>15107</v>
      </c>
      <c r="C24" s="31">
        <v>10798</v>
      </c>
      <c r="D24" s="29">
        <v>9411</v>
      </c>
      <c r="E24" s="9">
        <f t="shared" si="12"/>
        <v>7528.8</v>
      </c>
      <c r="F24" s="9">
        <f t="shared" si="13"/>
        <v>1727.68</v>
      </c>
      <c r="G24" s="9">
        <f t="shared" si="14"/>
        <v>863.84</v>
      </c>
      <c r="H24" s="23"/>
      <c r="J24" s="53" t="s">
        <v>26</v>
      </c>
      <c r="K24" s="53"/>
      <c r="L24" s="53"/>
      <c r="M24" s="53"/>
      <c r="N24" s="53"/>
      <c r="O24" s="53"/>
      <c r="P24" s="53"/>
      <c r="Q24" s="53"/>
      <c r="R24" s="53"/>
    </row>
    <row r="25" spans="1:18" x14ac:dyDescent="0.25">
      <c r="A25" s="2" t="s">
        <v>7</v>
      </c>
      <c r="B25" s="30">
        <v>17853</v>
      </c>
      <c r="C25" s="31">
        <v>13708</v>
      </c>
      <c r="D25" s="29">
        <v>11273</v>
      </c>
      <c r="E25" s="9">
        <f t="shared" si="12"/>
        <v>9018.4</v>
      </c>
      <c r="F25" s="9">
        <f t="shared" si="13"/>
        <v>2193.2800000000002</v>
      </c>
      <c r="G25" s="9">
        <f t="shared" si="14"/>
        <v>1096.6400000000001</v>
      </c>
      <c r="H25" s="23"/>
      <c r="J25" s="53" t="s">
        <v>22</v>
      </c>
      <c r="K25" s="53"/>
      <c r="L25" s="53"/>
      <c r="M25" s="53"/>
      <c r="N25" s="53"/>
      <c r="O25" s="53"/>
      <c r="P25" s="53"/>
      <c r="Q25" s="53"/>
      <c r="R25" s="53"/>
    </row>
    <row r="26" spans="1:18" x14ac:dyDescent="0.25">
      <c r="A26" s="2" t="s">
        <v>8</v>
      </c>
      <c r="B26" s="30">
        <v>15516</v>
      </c>
      <c r="C26" s="31">
        <v>11702</v>
      </c>
      <c r="D26" s="29">
        <v>9693</v>
      </c>
      <c r="E26" s="9">
        <f t="shared" si="12"/>
        <v>7754.4000000000005</v>
      </c>
      <c r="F26" s="9">
        <f t="shared" si="13"/>
        <v>1872.32</v>
      </c>
      <c r="G26" s="9">
        <f t="shared" si="14"/>
        <v>936.16</v>
      </c>
      <c r="H26" s="23"/>
      <c r="J26" s="55" t="s">
        <v>3</v>
      </c>
      <c r="K26" s="55"/>
      <c r="L26" s="55"/>
      <c r="M26" s="55"/>
      <c r="N26" s="55"/>
      <c r="O26" s="55"/>
      <c r="P26" s="55"/>
      <c r="Q26" s="55"/>
      <c r="R26" s="55"/>
    </row>
    <row r="27" spans="1:18" x14ac:dyDescent="0.25">
      <c r="A27" s="2" t="s">
        <v>9</v>
      </c>
      <c r="B27" s="30">
        <v>8008</v>
      </c>
      <c r="C27" s="31">
        <v>6017</v>
      </c>
      <c r="D27" s="29">
        <v>4869</v>
      </c>
      <c r="E27" s="9">
        <f t="shared" si="12"/>
        <v>3895.2000000000003</v>
      </c>
      <c r="F27" s="9">
        <f t="shared" si="13"/>
        <v>962.72</v>
      </c>
      <c r="G27" s="9">
        <f t="shared" si="14"/>
        <v>481.36</v>
      </c>
      <c r="H27" s="23"/>
      <c r="J27" s="53" t="s">
        <v>38</v>
      </c>
      <c r="K27" s="53"/>
      <c r="L27" s="53"/>
      <c r="M27" s="53"/>
      <c r="N27" s="53"/>
      <c r="O27" s="53"/>
      <c r="P27" s="53"/>
      <c r="Q27" s="53"/>
      <c r="R27" s="53"/>
    </row>
    <row r="28" spans="1:18" x14ac:dyDescent="0.25">
      <c r="A28" s="2" t="s">
        <v>10</v>
      </c>
      <c r="B28" s="30">
        <v>9882</v>
      </c>
      <c r="C28" s="31">
        <v>7488</v>
      </c>
      <c r="D28" s="29">
        <v>5487</v>
      </c>
      <c r="E28" s="9">
        <f t="shared" si="12"/>
        <v>4389.6000000000004</v>
      </c>
      <c r="F28" s="9">
        <f t="shared" si="13"/>
        <v>1198.08</v>
      </c>
      <c r="G28" s="9">
        <f t="shared" si="14"/>
        <v>599.04</v>
      </c>
      <c r="H28" s="23"/>
      <c r="J28" s="53" t="s">
        <v>39</v>
      </c>
      <c r="K28" s="53"/>
      <c r="L28" s="53"/>
      <c r="M28" s="53"/>
      <c r="N28" s="53"/>
      <c r="O28" s="53"/>
      <c r="P28" s="53"/>
      <c r="Q28" s="53"/>
      <c r="R28" s="53"/>
    </row>
    <row r="29" spans="1:18" x14ac:dyDescent="0.25">
      <c r="A29" s="2" t="s">
        <v>11</v>
      </c>
      <c r="B29" s="30">
        <v>9319</v>
      </c>
      <c r="C29" s="31">
        <v>7076</v>
      </c>
      <c r="D29" s="29">
        <v>4872</v>
      </c>
      <c r="E29" s="9">
        <f t="shared" si="12"/>
        <v>3897.6000000000004</v>
      </c>
      <c r="F29" s="9">
        <f t="shared" si="13"/>
        <v>1132.1600000000001</v>
      </c>
      <c r="G29" s="9">
        <f t="shared" si="14"/>
        <v>566.08000000000004</v>
      </c>
      <c r="H29" s="23"/>
      <c r="J29" s="53" t="s">
        <v>27</v>
      </c>
      <c r="K29" s="53"/>
      <c r="L29" s="53"/>
      <c r="M29" s="53"/>
      <c r="N29" s="53"/>
      <c r="O29" s="53"/>
      <c r="P29" s="53"/>
      <c r="Q29" s="53"/>
      <c r="R29" s="53"/>
    </row>
    <row r="30" spans="1:18" x14ac:dyDescent="0.25">
      <c r="A30" s="2" t="s">
        <v>12</v>
      </c>
      <c r="B30" s="30">
        <v>15941</v>
      </c>
      <c r="C30" s="31">
        <v>12072</v>
      </c>
      <c r="D30" s="29">
        <v>9142</v>
      </c>
      <c r="E30" s="9">
        <f t="shared" si="12"/>
        <v>7313.6</v>
      </c>
      <c r="F30" s="9">
        <f t="shared" si="13"/>
        <v>1931.52</v>
      </c>
      <c r="G30" s="9">
        <f t="shared" si="14"/>
        <v>965.76</v>
      </c>
      <c r="H30" s="23"/>
      <c r="J30" s="53" t="s">
        <v>23</v>
      </c>
      <c r="K30" s="53"/>
      <c r="L30" s="53"/>
      <c r="M30" s="53"/>
      <c r="N30" s="53"/>
      <c r="O30" s="53"/>
      <c r="P30" s="53"/>
      <c r="Q30" s="53"/>
      <c r="R30" s="53"/>
    </row>
    <row r="31" spans="1:18" s="38" customFormat="1" x14ac:dyDescent="0.25">
      <c r="A31" s="33" t="s">
        <v>13</v>
      </c>
      <c r="B31" s="34">
        <v>15305</v>
      </c>
      <c r="C31" s="34">
        <v>11330</v>
      </c>
      <c r="D31" s="34">
        <v>8458</v>
      </c>
      <c r="E31" s="37">
        <f>D31*80%</f>
        <v>6766.4000000000005</v>
      </c>
      <c r="F31" s="37">
        <f t="shared" si="13"/>
        <v>1812.8</v>
      </c>
      <c r="G31" s="37">
        <f t="shared" si="14"/>
        <v>906.4</v>
      </c>
      <c r="H31" s="39"/>
      <c r="I31" s="40"/>
      <c r="J31" s="56" t="s">
        <v>16</v>
      </c>
      <c r="K31" s="56"/>
      <c r="L31" s="56"/>
      <c r="M31" s="56"/>
      <c r="N31" s="56"/>
      <c r="O31" s="56"/>
      <c r="P31" s="56"/>
      <c r="Q31" s="56"/>
      <c r="R31" s="56"/>
    </row>
    <row r="32" spans="1:18" s="12" customFormat="1" x14ac:dyDescent="0.25">
      <c r="A32" s="2" t="s">
        <v>14</v>
      </c>
      <c r="B32" s="17">
        <f>SUM(B22:B31)</f>
        <v>136276</v>
      </c>
      <c r="C32" s="17">
        <f t="shared" ref="C32:G32" si="15">SUM(C22:C31)</f>
        <v>102209</v>
      </c>
      <c r="D32" s="17">
        <f t="shared" si="15"/>
        <v>81774</v>
      </c>
      <c r="E32" s="17">
        <f t="shared" si="15"/>
        <v>65419.199999999997</v>
      </c>
      <c r="F32" s="17">
        <f t="shared" si="15"/>
        <v>16353.439999999999</v>
      </c>
      <c r="G32" s="17">
        <f t="shared" si="15"/>
        <v>8176.7199999999993</v>
      </c>
      <c r="H32" s="24"/>
      <c r="J32" s="53" t="s">
        <v>28</v>
      </c>
      <c r="K32" s="53"/>
      <c r="L32" s="53"/>
      <c r="M32" s="53"/>
      <c r="N32" s="53"/>
      <c r="O32" s="53"/>
      <c r="P32" s="53"/>
      <c r="Q32" s="53"/>
      <c r="R32" s="53"/>
    </row>
    <row r="33" spans="1:18" s="12" customFormat="1" x14ac:dyDescent="0.25">
      <c r="A33" s="49"/>
      <c r="B33" s="50">
        <f>B31+B29+B28</f>
        <v>34506</v>
      </c>
      <c r="C33" s="50">
        <f t="shared" ref="C33:G33" si="16">C31+C29+C28</f>
        <v>25894</v>
      </c>
      <c r="D33" s="50">
        <f t="shared" si="16"/>
        <v>18817</v>
      </c>
      <c r="E33" s="50">
        <f t="shared" si="16"/>
        <v>15053.6</v>
      </c>
      <c r="F33" s="50">
        <f t="shared" si="16"/>
        <v>4143.04</v>
      </c>
      <c r="G33" s="50">
        <f t="shared" si="16"/>
        <v>2071.52</v>
      </c>
      <c r="H33" s="24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25">
      <c r="I34" s="5"/>
      <c r="J34" s="5"/>
      <c r="K34" s="5"/>
      <c r="L34" s="5"/>
      <c r="M34" s="5"/>
      <c r="R34" s="19"/>
    </row>
    <row r="35" spans="1:18" x14ac:dyDescent="0.25">
      <c r="A35" s="12" t="s">
        <v>29</v>
      </c>
      <c r="B35" s="12"/>
      <c r="C35" s="12"/>
      <c r="D35" s="12"/>
      <c r="K35" s="52"/>
      <c r="L35" s="52"/>
      <c r="M35" s="52"/>
      <c r="N35" s="52"/>
      <c r="O35" s="52"/>
      <c r="P35" s="52"/>
      <c r="Q35" s="52"/>
      <c r="R35" s="52"/>
    </row>
    <row r="36" spans="1:18" x14ac:dyDescent="0.25">
      <c r="A36" s="5" t="s">
        <v>36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8" x14ac:dyDescent="0.25">
      <c r="A37" s="71" t="s">
        <v>42</v>
      </c>
      <c r="B37" s="71"/>
      <c r="C37" s="71"/>
      <c r="D37" s="71"/>
      <c r="E37" s="71"/>
      <c r="F37" s="71"/>
      <c r="G37" s="71"/>
      <c r="H37" s="71"/>
      <c r="I37" s="71"/>
    </row>
    <row r="38" spans="1:18" x14ac:dyDescent="0.25">
      <c r="A38" s="5" t="s">
        <v>37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8" x14ac:dyDescent="0.25">
      <c r="A39" s="71" t="s">
        <v>43</v>
      </c>
      <c r="B39" s="71"/>
      <c r="C39" s="71"/>
      <c r="D39" s="71"/>
      <c r="E39" s="71"/>
      <c r="F39" s="71"/>
      <c r="G39" s="71"/>
      <c r="H39" s="71"/>
      <c r="I39" s="71"/>
    </row>
    <row r="40" spans="1:18" x14ac:dyDescent="0.25">
      <c r="H40" s="5"/>
      <c r="I40" s="5"/>
      <c r="J40" s="5"/>
      <c r="K40" s="5"/>
      <c r="L40" s="5"/>
      <c r="M40" s="5"/>
    </row>
    <row r="41" spans="1:18" ht="16.5" customHeight="1" x14ac:dyDescent="0.25">
      <c r="H41" s="5"/>
      <c r="I41" s="5"/>
      <c r="J41" s="5"/>
      <c r="K41" s="5"/>
      <c r="L41" s="5"/>
      <c r="M41" s="5"/>
    </row>
    <row r="42" spans="1:18" ht="23.25" customHeight="1" x14ac:dyDescent="0.25">
      <c r="H42" s="5"/>
      <c r="I42" s="5"/>
      <c r="J42" s="5"/>
      <c r="K42" s="5"/>
      <c r="L42" s="5"/>
      <c r="M42" s="5"/>
    </row>
    <row r="43" spans="1:18" x14ac:dyDescent="0.25">
      <c r="H43" s="5"/>
      <c r="I43" s="5"/>
      <c r="J43" s="5"/>
      <c r="K43" s="5"/>
      <c r="L43" s="5"/>
      <c r="M43" s="5"/>
    </row>
    <row r="44" spans="1:18" x14ac:dyDescent="0.25">
      <c r="H44" s="5"/>
      <c r="I44" s="5"/>
      <c r="J44" s="5"/>
      <c r="K44" s="5"/>
      <c r="L44" s="5"/>
      <c r="M44" s="5"/>
    </row>
    <row r="45" spans="1:18" x14ac:dyDescent="0.25">
      <c r="H45" s="5"/>
      <c r="I45" s="5"/>
      <c r="J45" s="5"/>
      <c r="K45" s="5"/>
      <c r="L45" s="5"/>
      <c r="M45" s="5"/>
    </row>
    <row r="46" spans="1:18" x14ac:dyDescent="0.25">
      <c r="H46" s="5"/>
      <c r="I46" s="5"/>
      <c r="J46" s="5"/>
      <c r="K46" s="5"/>
      <c r="L46" s="5"/>
      <c r="M46" s="5"/>
    </row>
    <row r="47" spans="1:18" x14ac:dyDescent="0.25">
      <c r="H47" s="5"/>
      <c r="I47" s="5"/>
      <c r="J47" s="5"/>
      <c r="K47" s="5"/>
      <c r="L47" s="5"/>
      <c r="M47" s="5"/>
    </row>
    <row r="48" spans="1:18" x14ac:dyDescent="0.25">
      <c r="F48" s="5"/>
      <c r="G48" s="5"/>
      <c r="H48" s="5"/>
      <c r="I48" s="5"/>
      <c r="J48" s="5"/>
      <c r="K48" s="5"/>
      <c r="L48" s="5"/>
      <c r="M48" s="5"/>
    </row>
    <row r="49" spans="5:13" x14ac:dyDescent="0.25">
      <c r="F49" s="5"/>
      <c r="G49" s="5"/>
      <c r="H49" s="5"/>
      <c r="I49" s="5"/>
      <c r="J49" s="5"/>
      <c r="K49" s="5"/>
      <c r="L49" s="5"/>
      <c r="M49" s="5"/>
    </row>
    <row r="50" spans="5:13" x14ac:dyDescent="0.25">
      <c r="E50" s="5"/>
      <c r="F50" s="5"/>
      <c r="G50" s="5"/>
      <c r="H50" s="5"/>
      <c r="I50" s="5"/>
      <c r="J50" s="5"/>
      <c r="K50" s="5"/>
      <c r="L50" s="5"/>
      <c r="M50" s="5"/>
    </row>
    <row r="51" spans="5:13" x14ac:dyDescent="0.25">
      <c r="F51" s="5"/>
      <c r="G51" s="5"/>
      <c r="H51" s="5"/>
      <c r="I51" s="5"/>
      <c r="J51" s="5"/>
      <c r="K51" s="5"/>
      <c r="L51" s="5"/>
      <c r="M51" s="5"/>
    </row>
    <row r="58" spans="5:13" x14ac:dyDescent="0.25">
      <c r="J58" s="5"/>
      <c r="K58" s="5"/>
      <c r="L58" s="5"/>
      <c r="M58" s="5"/>
    </row>
    <row r="59" spans="5:13" x14ac:dyDescent="0.25">
      <c r="J59" s="5"/>
      <c r="K59" s="5"/>
      <c r="L59" s="5"/>
      <c r="M59" s="5"/>
    </row>
    <row r="60" spans="5:13" x14ac:dyDescent="0.25">
      <c r="J60" s="5"/>
      <c r="K60" s="5"/>
      <c r="L60" s="5"/>
      <c r="M60" s="5"/>
    </row>
    <row r="61" spans="5:13" x14ac:dyDescent="0.25">
      <c r="J61" s="5"/>
      <c r="K61" s="5"/>
      <c r="L61" s="5"/>
      <c r="M61" s="5"/>
    </row>
    <row r="62" spans="5:13" x14ac:dyDescent="0.25">
      <c r="J62" s="5"/>
      <c r="K62" s="5"/>
      <c r="L62" s="5"/>
      <c r="M62" s="5"/>
    </row>
    <row r="63" spans="5:13" x14ac:dyDescent="0.25">
      <c r="J63" s="5"/>
      <c r="K63" s="5"/>
      <c r="L63" s="5"/>
      <c r="M63" s="5"/>
    </row>
    <row r="64" spans="5:13" x14ac:dyDescent="0.25">
      <c r="J64" s="5"/>
      <c r="K64" s="5"/>
      <c r="L64" s="5"/>
      <c r="M64" s="5"/>
    </row>
    <row r="65" spans="10:13" x14ac:dyDescent="0.25">
      <c r="J65" s="5"/>
      <c r="K65" s="5"/>
      <c r="L65" s="5"/>
      <c r="M65" s="5"/>
    </row>
    <row r="66" spans="10:13" x14ac:dyDescent="0.25">
      <c r="K66" s="5"/>
      <c r="L66" s="5"/>
      <c r="M66" s="5"/>
    </row>
    <row r="67" spans="10:13" x14ac:dyDescent="0.25">
      <c r="K67" s="5"/>
      <c r="L67" s="5"/>
      <c r="M67" s="5"/>
    </row>
    <row r="68" spans="10:13" x14ac:dyDescent="0.25">
      <c r="K68" s="5"/>
      <c r="L68" s="5"/>
      <c r="M68" s="5"/>
    </row>
  </sheetData>
  <mergeCells count="37">
    <mergeCell ref="F3:H3"/>
    <mergeCell ref="S7:S8"/>
    <mergeCell ref="T7:T8"/>
    <mergeCell ref="A37:I37"/>
    <mergeCell ref="A39:I39"/>
    <mergeCell ref="F20:F21"/>
    <mergeCell ref="G20:G21"/>
    <mergeCell ref="J20:R20"/>
    <mergeCell ref="J22:R22"/>
    <mergeCell ref="J23:R23"/>
    <mergeCell ref="J24:R24"/>
    <mergeCell ref="J25:R25"/>
    <mergeCell ref="J26:R26"/>
    <mergeCell ref="J27:R27"/>
    <mergeCell ref="J28:R28"/>
    <mergeCell ref="J29:R29"/>
    <mergeCell ref="A20:A21"/>
    <mergeCell ref="B20:B21"/>
    <mergeCell ref="A3:A4"/>
    <mergeCell ref="B3:B4"/>
    <mergeCell ref="C3:E3"/>
    <mergeCell ref="E20:E21"/>
    <mergeCell ref="C20:C21"/>
    <mergeCell ref="D20:D21"/>
    <mergeCell ref="K35:R35"/>
    <mergeCell ref="J21:R21"/>
    <mergeCell ref="I3:K3"/>
    <mergeCell ref="J18:R18"/>
    <mergeCell ref="J19:R19"/>
    <mergeCell ref="J31:R31"/>
    <mergeCell ref="J32:R32"/>
    <mergeCell ref="J30:R30"/>
    <mergeCell ref="N7:N8"/>
    <mergeCell ref="O7:O8"/>
    <mergeCell ref="P7:P8"/>
    <mergeCell ref="Q7:Q8"/>
    <mergeCell ref="R7:R8"/>
  </mergeCells>
  <pageMargins left="0.7" right="0.7" top="0.75" bottom="0.75" header="0.3" footer="0.3"/>
  <pageSetup paperSize="9" scale="8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C17" sqref="C17"/>
    </sheetView>
  </sheetViews>
  <sheetFormatPr defaultRowHeight="15" x14ac:dyDescent="0.25"/>
  <sheetData>
    <row r="1" spans="1:5" ht="16.5" customHeight="1" x14ac:dyDescent="0.25">
      <c r="A1" s="54" t="s">
        <v>0</v>
      </c>
      <c r="B1" s="61" t="s">
        <v>21</v>
      </c>
      <c r="C1" s="72" t="s">
        <v>30</v>
      </c>
      <c r="D1" s="59" t="s">
        <v>53</v>
      </c>
      <c r="E1" s="66" t="s">
        <v>20</v>
      </c>
    </row>
    <row r="2" spans="1:5" ht="16.5" customHeight="1" x14ac:dyDescent="0.25">
      <c r="A2" s="54"/>
      <c r="B2" s="54"/>
      <c r="C2" s="73"/>
      <c r="D2" s="60"/>
      <c r="E2" s="66"/>
    </row>
    <row r="3" spans="1:5" ht="16.5" x14ac:dyDescent="0.25">
      <c r="A3" s="2" t="s">
        <v>4</v>
      </c>
      <c r="B3" s="28">
        <v>21423</v>
      </c>
      <c r="C3" s="29">
        <v>10892</v>
      </c>
      <c r="D3" s="30">
        <v>17181</v>
      </c>
      <c r="E3" s="31">
        <v>12863</v>
      </c>
    </row>
    <row r="4" spans="1:5" ht="16.5" x14ac:dyDescent="0.25">
      <c r="A4" s="2" t="s">
        <v>5</v>
      </c>
      <c r="B4" s="28">
        <v>14843</v>
      </c>
      <c r="C4" s="29">
        <v>7734</v>
      </c>
      <c r="D4" s="30">
        <v>12242</v>
      </c>
      <c r="E4" s="31">
        <v>9225</v>
      </c>
    </row>
    <row r="5" spans="1:5" ht="16.5" x14ac:dyDescent="0.25">
      <c r="A5" s="2" t="s">
        <v>6</v>
      </c>
      <c r="B5" s="28">
        <v>18899</v>
      </c>
      <c r="C5" s="29">
        <v>9409</v>
      </c>
      <c r="D5" s="30">
        <v>15099</v>
      </c>
      <c r="E5" s="31">
        <v>10799</v>
      </c>
    </row>
    <row r="6" spans="1:5" ht="16.5" x14ac:dyDescent="0.25">
      <c r="A6" s="2" t="s">
        <v>7</v>
      </c>
      <c r="B6" s="28">
        <v>21240</v>
      </c>
      <c r="C6" s="29">
        <v>11271</v>
      </c>
      <c r="D6" s="30">
        <v>17847</v>
      </c>
      <c r="E6" s="31">
        <v>13703</v>
      </c>
    </row>
    <row r="7" spans="1:5" ht="16.5" x14ac:dyDescent="0.25">
      <c r="A7" s="2" t="s">
        <v>8</v>
      </c>
      <c r="B7" s="28">
        <v>18609</v>
      </c>
      <c r="C7" s="29">
        <v>9689</v>
      </c>
      <c r="D7" s="30">
        <v>15512</v>
      </c>
      <c r="E7" s="31">
        <v>11699</v>
      </c>
    </row>
    <row r="8" spans="1:5" ht="16.5" x14ac:dyDescent="0.25">
      <c r="A8" s="2" t="s">
        <v>9</v>
      </c>
      <c r="B8" s="28">
        <v>9888</v>
      </c>
      <c r="C8" s="29">
        <v>4868</v>
      </c>
      <c r="D8" s="30">
        <v>8008</v>
      </c>
      <c r="E8" s="31">
        <v>6017</v>
      </c>
    </row>
    <row r="9" spans="1:5" ht="16.5" x14ac:dyDescent="0.25">
      <c r="A9" s="2" t="s">
        <v>10</v>
      </c>
      <c r="B9" s="28">
        <v>12821</v>
      </c>
      <c r="C9" s="29">
        <v>5485</v>
      </c>
      <c r="D9" s="30">
        <v>9880</v>
      </c>
      <c r="E9" s="31">
        <v>7489</v>
      </c>
    </row>
    <row r="10" spans="1:5" ht="16.5" x14ac:dyDescent="0.25">
      <c r="A10" s="2" t="s">
        <v>11</v>
      </c>
      <c r="B10" s="28">
        <v>11264</v>
      </c>
      <c r="C10" s="29">
        <v>4879</v>
      </c>
      <c r="D10" s="30">
        <v>9327</v>
      </c>
      <c r="E10" s="31">
        <v>7082</v>
      </c>
    </row>
    <row r="11" spans="1:5" ht="16.5" x14ac:dyDescent="0.25">
      <c r="A11" s="2" t="s">
        <v>12</v>
      </c>
      <c r="B11" s="28">
        <v>19441</v>
      </c>
      <c r="C11" s="29">
        <v>9147</v>
      </c>
      <c r="D11" s="30">
        <v>15946</v>
      </c>
      <c r="E11" s="31">
        <v>12082</v>
      </c>
    </row>
    <row r="12" spans="1:5" ht="16.5" x14ac:dyDescent="0.25">
      <c r="A12" s="2" t="s">
        <v>13</v>
      </c>
      <c r="B12" s="28">
        <v>18513</v>
      </c>
      <c r="C12" s="29">
        <v>8453</v>
      </c>
      <c r="D12" s="30">
        <v>15302</v>
      </c>
      <c r="E12" s="31">
        <v>11326</v>
      </c>
    </row>
    <row r="13" spans="1:5" ht="16.5" x14ac:dyDescent="0.25">
      <c r="A13" s="2" t="s">
        <v>14</v>
      </c>
      <c r="B13" s="11">
        <f>SUM(B3:B12)</f>
        <v>166941</v>
      </c>
      <c r="C13" s="20">
        <f>SUM(C3:C12)</f>
        <v>81827</v>
      </c>
      <c r="D13" s="17">
        <f>SUM(D3:D12)</f>
        <v>136344</v>
      </c>
      <c r="E13" s="18">
        <f>SUM(E3:E12)</f>
        <v>102285</v>
      </c>
    </row>
    <row r="16" spans="1:5" x14ac:dyDescent="0.25">
      <c r="C16">
        <f>C12*80%</f>
        <v>6762.4000000000005</v>
      </c>
    </row>
  </sheetData>
  <mergeCells count="5">
    <mergeCell ref="A1:A2"/>
    <mergeCell ref="B1:B2"/>
    <mergeCell ref="D1:D2"/>
    <mergeCell ref="E1:E2"/>
    <mergeCell ref="C1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5" sqref="E15"/>
    </sheetView>
  </sheetViews>
  <sheetFormatPr defaultRowHeight="15" x14ac:dyDescent="0.25"/>
  <cols>
    <col min="3" max="3" width="11.5703125" customWidth="1"/>
    <col min="4" max="4" width="12.140625" customWidth="1"/>
    <col min="5" max="5" width="13.85546875" customWidth="1"/>
  </cols>
  <sheetData>
    <row r="1" spans="1:5" x14ac:dyDescent="0.25">
      <c r="A1" s="57" t="s">
        <v>0</v>
      </c>
      <c r="B1" s="59" t="s">
        <v>15</v>
      </c>
      <c r="C1" s="74" t="s">
        <v>50</v>
      </c>
      <c r="D1" s="74" t="s">
        <v>52</v>
      </c>
      <c r="E1" s="74" t="s">
        <v>51</v>
      </c>
    </row>
    <row r="2" spans="1:5" x14ac:dyDescent="0.25">
      <c r="A2" s="58"/>
      <c r="B2" s="60"/>
      <c r="C2" s="75"/>
      <c r="D2" s="75"/>
      <c r="E2" s="75"/>
    </row>
    <row r="3" spans="1:5" ht="16.5" x14ac:dyDescent="0.25">
      <c r="A3" s="2" t="s">
        <v>4</v>
      </c>
      <c r="B3" s="16">
        <v>16815</v>
      </c>
      <c r="C3" s="26">
        <f>B3*90%</f>
        <v>15133.5</v>
      </c>
      <c r="D3" s="25">
        <f>B3*80%</f>
        <v>13452</v>
      </c>
      <c r="E3" s="26">
        <f>B3*70%</f>
        <v>11770.5</v>
      </c>
    </row>
    <row r="4" spans="1:5" ht="16.5" x14ac:dyDescent="0.25">
      <c r="A4" s="2" t="s">
        <v>5</v>
      </c>
      <c r="B4" s="16">
        <v>12583</v>
      </c>
      <c r="C4" s="26">
        <f t="shared" ref="C4:C13" si="0">B4*90%</f>
        <v>11324.7</v>
      </c>
      <c r="D4" s="26">
        <f t="shared" ref="D4:D13" si="1">B4*80%</f>
        <v>10066.400000000001</v>
      </c>
      <c r="E4" s="26">
        <f t="shared" ref="E4:E13" si="2">B4*70%</f>
        <v>8808.0999999999985</v>
      </c>
    </row>
    <row r="5" spans="1:5" ht="16.5" x14ac:dyDescent="0.25">
      <c r="A5" s="2" t="s">
        <v>6</v>
      </c>
      <c r="B5" s="16">
        <v>8643</v>
      </c>
      <c r="C5" s="26">
        <f t="shared" si="0"/>
        <v>7778.7</v>
      </c>
      <c r="D5" s="26">
        <f t="shared" si="1"/>
        <v>6914.4000000000005</v>
      </c>
      <c r="E5" s="26">
        <f t="shared" si="2"/>
        <v>6050.0999999999995</v>
      </c>
    </row>
    <row r="6" spans="1:5" ht="16.5" x14ac:dyDescent="0.25">
      <c r="A6" s="2" t="s">
        <v>7</v>
      </c>
      <c r="B6" s="16">
        <v>11275</v>
      </c>
      <c r="C6" s="26">
        <f t="shared" si="0"/>
        <v>10147.5</v>
      </c>
      <c r="D6" s="26">
        <f t="shared" si="1"/>
        <v>9020</v>
      </c>
      <c r="E6" s="26">
        <f t="shared" si="2"/>
        <v>7892.4999999999991</v>
      </c>
    </row>
    <row r="7" spans="1:5" ht="16.5" x14ac:dyDescent="0.25">
      <c r="A7" s="2" t="s">
        <v>8</v>
      </c>
      <c r="B7" s="16">
        <v>6147</v>
      </c>
      <c r="C7" s="26">
        <f t="shared" si="0"/>
        <v>5532.3</v>
      </c>
      <c r="D7" s="26">
        <f t="shared" si="1"/>
        <v>4917.6000000000004</v>
      </c>
      <c r="E7" s="26">
        <f t="shared" si="2"/>
        <v>4302.8999999999996</v>
      </c>
    </row>
    <row r="8" spans="1:5" ht="16.5" x14ac:dyDescent="0.25">
      <c r="A8" s="2" t="s">
        <v>9</v>
      </c>
      <c r="B8" s="16">
        <v>10665</v>
      </c>
      <c r="C8" s="26">
        <f t="shared" si="0"/>
        <v>9598.5</v>
      </c>
      <c r="D8" s="26">
        <f t="shared" si="1"/>
        <v>8532</v>
      </c>
      <c r="E8" s="26">
        <f t="shared" si="2"/>
        <v>7465.4999999999991</v>
      </c>
    </row>
    <row r="9" spans="1:5" ht="16.5" x14ac:dyDescent="0.25">
      <c r="A9" s="2" t="s">
        <v>10</v>
      </c>
      <c r="B9" s="16">
        <v>10942</v>
      </c>
      <c r="C9" s="26">
        <f t="shared" si="0"/>
        <v>9847.8000000000011</v>
      </c>
      <c r="D9" s="26">
        <f t="shared" si="1"/>
        <v>8753.6</v>
      </c>
      <c r="E9" s="26">
        <f t="shared" si="2"/>
        <v>7659.4</v>
      </c>
    </row>
    <row r="10" spans="1:5" ht="16.5" x14ac:dyDescent="0.25">
      <c r="A10" s="2" t="s">
        <v>11</v>
      </c>
      <c r="B10" s="16">
        <v>5392</v>
      </c>
      <c r="C10" s="26">
        <f t="shared" si="0"/>
        <v>4852.8</v>
      </c>
      <c r="D10" s="26">
        <f t="shared" si="1"/>
        <v>4313.6000000000004</v>
      </c>
      <c r="E10" s="26">
        <f t="shared" si="2"/>
        <v>3774.3999999999996</v>
      </c>
    </row>
    <row r="11" spans="1:5" ht="16.5" x14ac:dyDescent="0.25">
      <c r="A11" s="2" t="s">
        <v>12</v>
      </c>
      <c r="B11" s="16">
        <v>11348</v>
      </c>
      <c r="C11" s="26">
        <f t="shared" si="0"/>
        <v>10213.200000000001</v>
      </c>
      <c r="D11" s="26">
        <f t="shared" si="1"/>
        <v>9078.4</v>
      </c>
      <c r="E11" s="26">
        <f t="shared" si="2"/>
        <v>7943.5999999999995</v>
      </c>
    </row>
    <row r="12" spans="1:5" ht="16.5" x14ac:dyDescent="0.25">
      <c r="A12" s="2" t="s">
        <v>13</v>
      </c>
      <c r="B12" s="16">
        <v>11586</v>
      </c>
      <c r="C12" s="26">
        <f t="shared" si="0"/>
        <v>10427.4</v>
      </c>
      <c r="D12" s="26">
        <f t="shared" si="1"/>
        <v>9268.8000000000011</v>
      </c>
      <c r="E12" s="26">
        <f t="shared" si="2"/>
        <v>8110.2</v>
      </c>
    </row>
    <row r="13" spans="1:5" ht="16.5" x14ac:dyDescent="0.25">
      <c r="A13" s="2" t="s">
        <v>14</v>
      </c>
      <c r="B13" s="17">
        <f>SUM(B3:B12)</f>
        <v>105396</v>
      </c>
      <c r="C13" s="27">
        <f t="shared" si="0"/>
        <v>94856.400000000009</v>
      </c>
      <c r="D13" s="27">
        <f t="shared" si="1"/>
        <v>84316.800000000003</v>
      </c>
      <c r="E13" s="27">
        <f t="shared" si="2"/>
        <v>73777.2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="85" zoomScaleNormal="85" workbookViewId="0">
      <selection activeCell="D16" sqref="D16"/>
    </sheetView>
  </sheetViews>
  <sheetFormatPr defaultRowHeight="16.5" x14ac:dyDescent="0.25"/>
  <cols>
    <col min="1" max="1" width="6.140625" style="42" customWidth="1"/>
    <col min="2" max="2" width="30.85546875" style="42" customWidth="1"/>
    <col min="3" max="3" width="13.140625" style="42" customWidth="1"/>
    <col min="4" max="4" width="39.7109375" style="42" customWidth="1"/>
    <col min="5" max="5" width="34.5703125" style="42" customWidth="1"/>
    <col min="6" max="16384" width="9.140625" style="42"/>
  </cols>
  <sheetData>
    <row r="1" spans="1:9" ht="22.5" customHeight="1" x14ac:dyDescent="0.25">
      <c r="A1" s="76" t="s">
        <v>54</v>
      </c>
      <c r="B1" s="76"/>
      <c r="C1" s="76" t="s">
        <v>56</v>
      </c>
      <c r="D1" s="76"/>
      <c r="E1" s="76"/>
      <c r="F1" s="21"/>
      <c r="G1" s="21"/>
      <c r="H1" s="21"/>
      <c r="I1" s="21"/>
    </row>
    <row r="2" spans="1:9" ht="22.5" customHeight="1" x14ac:dyDescent="0.25">
      <c r="A2" s="77" t="s">
        <v>55</v>
      </c>
      <c r="B2" s="77"/>
      <c r="C2" s="77" t="s">
        <v>57</v>
      </c>
      <c r="D2" s="77"/>
      <c r="E2" s="77"/>
      <c r="F2" s="21"/>
      <c r="G2" s="21"/>
      <c r="H2" s="21"/>
      <c r="I2" s="21"/>
    </row>
    <row r="3" spans="1:9" x14ac:dyDescent="0.25">
      <c r="A3" s="21"/>
      <c r="B3" s="21"/>
      <c r="C3" s="21"/>
      <c r="D3" s="21"/>
      <c r="E3" s="21"/>
      <c r="F3" s="21"/>
      <c r="G3" s="21"/>
      <c r="H3" s="21"/>
      <c r="I3" s="21"/>
    </row>
    <row r="4" spans="1:9" ht="39" customHeight="1" x14ac:dyDescent="0.25">
      <c r="A4" s="76" t="s">
        <v>74</v>
      </c>
      <c r="B4" s="76"/>
      <c r="C4" s="76"/>
      <c r="D4" s="76"/>
      <c r="E4" s="76"/>
      <c r="F4" s="21"/>
      <c r="G4" s="21"/>
      <c r="H4" s="21"/>
      <c r="I4" s="21"/>
    </row>
    <row r="5" spans="1:9" x14ac:dyDescent="0.25">
      <c r="A5" s="21"/>
      <c r="B5" s="21"/>
      <c r="C5" s="21"/>
      <c r="D5" s="21"/>
      <c r="E5" s="21"/>
      <c r="F5" s="21"/>
      <c r="G5" s="21"/>
      <c r="H5" s="21"/>
      <c r="I5" s="21"/>
    </row>
    <row r="6" spans="1:9" x14ac:dyDescent="0.25">
      <c r="A6" s="41" t="s">
        <v>58</v>
      </c>
      <c r="B6" s="41" t="s">
        <v>59</v>
      </c>
      <c r="C6" s="41" t="s">
        <v>63</v>
      </c>
      <c r="D6" s="41" t="s">
        <v>60</v>
      </c>
      <c r="E6" s="41" t="s">
        <v>61</v>
      </c>
      <c r="F6" s="21"/>
      <c r="G6" s="21"/>
      <c r="H6" s="21"/>
      <c r="I6" s="21"/>
    </row>
    <row r="7" spans="1:9" x14ac:dyDescent="0.25">
      <c r="A7" s="43" t="s">
        <v>69</v>
      </c>
      <c r="B7" s="43" t="s">
        <v>70</v>
      </c>
      <c r="C7" s="43" t="s">
        <v>71</v>
      </c>
      <c r="D7" s="43" t="s">
        <v>73</v>
      </c>
      <c r="E7" s="43" t="s">
        <v>72</v>
      </c>
    </row>
    <row r="8" spans="1:9" ht="40.5" customHeight="1" x14ac:dyDescent="0.25">
      <c r="A8" s="44">
        <v>1</v>
      </c>
      <c r="B8" s="45" t="s">
        <v>62</v>
      </c>
      <c r="C8" s="44">
        <v>107</v>
      </c>
      <c r="D8" s="46">
        <f>C8*1000</f>
        <v>107000</v>
      </c>
      <c r="E8" s="44"/>
    </row>
    <row r="9" spans="1:9" ht="40.5" customHeight="1" x14ac:dyDescent="0.25">
      <c r="A9" s="44">
        <v>2</v>
      </c>
      <c r="B9" s="45" t="s">
        <v>66</v>
      </c>
      <c r="C9" s="44">
        <v>199</v>
      </c>
      <c r="D9" s="46">
        <f t="shared" ref="D9:D13" si="0">C9*1000</f>
        <v>199000</v>
      </c>
      <c r="E9" s="44"/>
    </row>
    <row r="10" spans="1:9" ht="40.5" customHeight="1" x14ac:dyDescent="0.25">
      <c r="A10" s="44">
        <v>3</v>
      </c>
      <c r="B10" s="45" t="s">
        <v>64</v>
      </c>
      <c r="C10" s="44">
        <v>86</v>
      </c>
      <c r="D10" s="46">
        <f t="shared" si="0"/>
        <v>86000</v>
      </c>
      <c r="E10" s="44"/>
    </row>
    <row r="11" spans="1:9" ht="40.5" customHeight="1" x14ac:dyDescent="0.25">
      <c r="A11" s="44">
        <v>4</v>
      </c>
      <c r="B11" s="45" t="s">
        <v>65</v>
      </c>
      <c r="C11" s="44">
        <v>63</v>
      </c>
      <c r="D11" s="46">
        <f t="shared" si="0"/>
        <v>63000</v>
      </c>
      <c r="E11" s="44"/>
    </row>
    <row r="12" spans="1:9" ht="40.5" customHeight="1" x14ac:dyDescent="0.25">
      <c r="A12" s="44">
        <v>5</v>
      </c>
      <c r="B12" s="45" t="s">
        <v>67</v>
      </c>
      <c r="C12" s="44">
        <v>77</v>
      </c>
      <c r="D12" s="46">
        <f t="shared" si="0"/>
        <v>77000</v>
      </c>
      <c r="E12" s="44"/>
    </row>
    <row r="13" spans="1:9" ht="40.5" customHeight="1" x14ac:dyDescent="0.25">
      <c r="A13" s="44">
        <v>6</v>
      </c>
      <c r="B13" s="45" t="s">
        <v>68</v>
      </c>
      <c r="C13" s="44">
        <v>99</v>
      </c>
      <c r="D13" s="46">
        <f t="shared" si="0"/>
        <v>99000</v>
      </c>
      <c r="E13" s="44"/>
    </row>
    <row r="15" spans="1:9" x14ac:dyDescent="0.25">
      <c r="B15" s="76" t="s">
        <v>75</v>
      </c>
      <c r="C15" s="76"/>
      <c r="D15" s="76" t="s">
        <v>76</v>
      </c>
      <c r="E15" s="76"/>
    </row>
  </sheetData>
  <mergeCells count="7">
    <mergeCell ref="B15:C15"/>
    <mergeCell ref="D15:E15"/>
    <mergeCell ref="A4:E4"/>
    <mergeCell ref="A1:B1"/>
    <mergeCell ref="A2:B2"/>
    <mergeCell ref="C1:E1"/>
    <mergeCell ref="C2:E2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2026 tha dtd</vt:lpstr>
      <vt:lpstr>THA, ĐTĐ</vt:lpstr>
      <vt:lpstr>ds</vt:lpstr>
      <vt:lpstr>rượu, bia</vt:lpstr>
      <vt:lpstr>2026</vt:lpstr>
      <vt:lpstr>'2026 tha dtd'!Print_Area</vt:lpstr>
      <vt:lpstr>'THA, ĐTĐ'!Print_Area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User</cp:lastModifiedBy>
  <cp:lastPrinted>2023-02-06T08:56:58Z</cp:lastPrinted>
  <dcterms:created xsi:type="dcterms:W3CDTF">2022-11-17T01:10:17Z</dcterms:created>
  <dcterms:modified xsi:type="dcterms:W3CDTF">2026-01-27T04:00:48Z</dcterms:modified>
</cp:coreProperties>
</file>